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 (weeks 1-2)" sheetId="2" r:id="rId5"/>
    <sheet state="visible" name="Sprint Backlog (weeks 3-4)" sheetId="3" r:id="rId6"/>
    <sheet state="visible" name="Sprint Backlog (weeks 5-6)" sheetId="4" r:id="rId7"/>
    <sheet state="visible" name="Sprint Backlog (weeks 7-8)" sheetId="5" r:id="rId8"/>
    <sheet state="visible" name="Sprint Backlog (weeks 9-10)" sheetId="6" r:id="rId9"/>
    <sheet state="visible" name="Team members" sheetId="7" r:id="rId10"/>
    <sheet state="visible" name="Task statuses" sheetId="8" r:id="rId11"/>
    <sheet state="visible" name="Stakeholders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Tutorial (Product Owners):
- Add items like the existing examples. Define the user type in column D and his needs in column E.
- Define the priority of a backlog item by moving the rows up/down.
- The complexity and sprint number are decided by the dev team.
Your contributions to this document ends here, thanks :)</t>
      </text>
    </comment>
    <comment authorId="0" ref="B1">
      <text>
        <t xml:space="preserve">Estimate complexity (use fibonacci sequence: 0 (done), 1, 2, 3, 5, 8, 13, 21)</t>
      </text>
    </comment>
    <comment authorId="0" ref="A2">
      <text>
        <t xml:space="preserve">Drag and drop row to change priority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Tutorial:
Before the sprint, update the total working hours ("daily burnout") per day in row 31 columns I-V. For example, give 0 for sundays (if no one's working)
1- Define the tasks for each of user story (column E)
2 - Estimate the total time for each task (column F). You should UPDATE this estimations as necessary at any time.
3 - Pick up a task and change column G to your name.
4 - every sprint day (columns I-V), report how many hours you SPENT on that task on that day and update the estimated time to complete (step 2).
5 - Monitor team progress using the Sprint burndown chart below
</t>
      </text>
    </comment>
    <comment authorId="0" ref="F2">
      <text>
        <t xml:space="preserve">The estimated time can be updated whenever necessary (e.g. "how many more hours do I need to complete this taks?"). Changes will be reflected in the burndown chart.
Once a task is completed, the time spent (yellow boxes) MUST match the estimated, i.e., the estimation will corresponding to the total of hours spent on that task. </t>
      </text>
    </comment>
    <comment authorId="0" ref="I2">
      <text>
        <t xml:space="preserve">Monday
</t>
      </text>
    </comment>
    <comment authorId="0" ref="B3">
      <text>
        <t xml:space="preserve">formula
=SUM(F3:F17)</t>
      </text>
    </comment>
    <comment authorId="0" ref="C3">
      <text>
        <t xml:space="preserve">formula
=IF(B3&lt;SUM(I3:I17, J3:J17, K3:K17,L3:L17,M3:M17,N3:N17,O3:O17,P3:P17,Q3:Q17,R3:R17,S3:S17,T3:T17,U3:U17,V3:V17),SUM(I3:I17, J3:J17, K3:K17,L3:L17,M3:M17,N3:N17,O3:O17,P3:P17,Q3:Q17,R3:R17,S3:S17,T3:T17,U3:U17,V3:V17),B3)
</t>
      </text>
    </comment>
    <comment authorId="0" ref="D3">
      <text>
        <t xml:space="preserve">formula:
=IF(C3&gt;B3,$C3-(SUM(I3:I17, J3:J17, K3:K17,L3:L17,M3:M17,N3:N17,O3:O17,P3:P17,Q3:Q17,R3:R17,S3:S17,T3:T17,U3:U17,V3:V17)),$B3-(SUM(I3:I17, J3:J17, K3:K17,L3:L17,M3:M17,N3:N17,O3:O17,P3:P17,Q3:Q17,R3:R17,S3:S17,T3:T17,U3:U17,V3:V17)))</t>
      </text>
    </comment>
    <comment authorId="0" ref="B32">
      <text>
        <t xml:space="preserve">Number of extra working hours (negative: free hours after completing all tasks) (do not change it)</t>
      </text>
    </comment>
    <comment authorId="0" ref="C32">
      <text>
        <t xml:space="preserve">Estimated Percentage of time over (positive) or under (negative)</t>
      </text>
    </comment>
    <comment authorId="0" ref="I32">
      <text>
        <t xml:space="preserve">Before the sprint, update the total working hours ("daily burnout") per day in row 31 columns I-V. For example, give 0 for sundays (if no one's working)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Tutorial:
Before the sprint, update the total working hours ("daily burnout") per day in row 31 columns I-V. For example, give 0 for sundays (if no one's working)
1- Define the tasks for each of user story (column E)
2 - Estimate the total time for each task (column F). You should UPDATE this estimations as necessary at any time.
3 - Pick up a task and change column G to your name.
4 - every sprint day (columns I-V), report how many hours you SPENT on that task on that day and update the estimated time to complete (step 2).
5 - Monitor team progress using the Sprint burndown chart below
</t>
      </text>
    </comment>
    <comment authorId="0" ref="F2">
      <text>
        <t xml:space="preserve">The estimated time can be updated whenever necessary (e.g. "how many more hours do I need to complete this taks?"). Changes will be reflected in the burndown chart.
Once a task is completed, the time spent (yellow boxes) MUST match the estimated, i.e., the estimation will corresponding to the total of hours spent on that task. </t>
      </text>
    </comment>
    <comment authorId="0" ref="I2">
      <text>
        <t xml:space="preserve">Monday
</t>
      </text>
    </comment>
    <comment authorId="0" ref="B3">
      <text>
        <t xml:space="preserve">formula
=SUM(F3:F17)</t>
      </text>
    </comment>
    <comment authorId="0" ref="C3">
      <text>
        <t xml:space="preserve">formula
=IF(B3&lt;SUM(I3:I17, J3:J17, K3:K17,L3:L17,M3:M17,N3:N17,O3:O17,P3:P17,Q3:Q17,R3:R17,S3:S17,T3:T17,U3:U17,V3:V17),SUM(I3:I17, J3:J17, K3:K17,L3:L17,M3:M17,N3:N17,O3:O17,P3:P17,Q3:Q17,R3:R17,S3:S17,T3:T17,U3:U17,V3:V17),B3)
</t>
      </text>
    </comment>
    <comment authorId="0" ref="D3">
      <text>
        <t xml:space="preserve">formula:
=IF(C3&gt;B3,$C3-(SUM(I3:I17, J3:J17, K3:K17,L3:L17,M3:M17,N3:N17,O3:O17,P3:P17,Q3:Q17,R3:R17,S3:S17,T3:T17,U3:U17,V3:V17)),$B3-(SUM(I3:I17, J3:J17, K3:K17,L3:L17,M3:M17,N3:N17,O3:O17,P3:P17,Q3:Q17,R3:R17,S3:S17,T3:T17,U3:U17,V3:V17)))</t>
      </text>
    </comment>
    <comment authorId="0" ref="B32">
      <text>
        <t xml:space="preserve">Number of extra working hours (negative: free hours after completing all tasks) (do not change it)</t>
      </text>
    </comment>
    <comment authorId="0" ref="C32">
      <text>
        <t xml:space="preserve">Estimated Percentage of time over (positive) or under (negative)</t>
      </text>
    </comment>
    <comment authorId="0" ref="I32">
      <text>
        <t xml:space="preserve">Before the sprint, update the total working hours ("daily burnout") per day in row 31 columns I-V. For example, give 0 for sundays (if no one's working)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Tutorial:
Before the sprint, update the total working hours ("daily burnout") per day in row 31 columns I-V. For example, give 0 for sundays (if no one's working)
1- Define the tasks for each of user story (column E)
2 - Estimate the total time for each task (column F). You should UPDATE this estimations as necessary at any time.
3 - Pick up a task and change column G to your name.
4 - every sprint day (columns I-V), report how many hours you SPENT on that task on that day and update the estimated time to complete (step 2).
5 - Monitor team progress using the Sprint burndown chart below
</t>
      </text>
    </comment>
    <comment authorId="0" ref="F2">
      <text>
        <t xml:space="preserve">The estimated time can be updated whenever necessary (e.g. "how many more hours do I need to complete this taks?"). Changes will be reflected in the burndown chart.
Once a task is completed, the time spent (yellow boxes) MUST match the estimated, i.e., the estimation will corresponding to the total of hours spent on that task. </t>
      </text>
    </comment>
    <comment authorId="0" ref="I2">
      <text>
        <t xml:space="preserve">Monday
</t>
      </text>
    </comment>
    <comment authorId="0" ref="B3">
      <text>
        <t xml:space="preserve">formula
=SUM(F3:F17)</t>
      </text>
    </comment>
    <comment authorId="0" ref="C3">
      <text>
        <t xml:space="preserve">formula
=IF(B3&lt;SUM(I3:I17, J3:J17, K3:K17,L3:L17,M3:M17,N3:N17,O3:O17,P3:P17,Q3:Q17,R3:R17,S3:S17,T3:T17,U3:U17,V3:V17),SUM(I3:I17, J3:J17, K3:K17,L3:L17,M3:M17,N3:N17,O3:O17,P3:P17,Q3:Q17,R3:R17,S3:S17,T3:T17,U3:U17,V3:V17),B3)
</t>
      </text>
    </comment>
    <comment authorId="0" ref="D3">
      <text>
        <t xml:space="preserve">formula:
=IF(C3&gt;B3,$C3-(SUM(I3:I17, J3:J17, K3:K17,L3:L17,M3:M17,N3:N17,O3:O17,P3:P17,Q3:Q17,R3:R17,S3:S17,T3:T17,U3:U17,V3:V17)),$B3-(SUM(I3:I17, J3:J17, K3:K17,L3:L17,M3:M17,N3:N17,O3:O17,P3:P17,Q3:Q17,R3:R17,S3:S17,T3:T17,U3:U17,V3:V17)))</t>
      </text>
    </comment>
    <comment authorId="0" ref="B32">
      <text>
        <t xml:space="preserve">Number of extra working hours (negative: free hours after completing all tasks) (do not change it)</t>
      </text>
    </comment>
    <comment authorId="0" ref="C32">
      <text>
        <t xml:space="preserve">Estimated Percentage of time over (positive) or under (negative)</t>
      </text>
    </comment>
    <comment authorId="0" ref="I32">
      <text>
        <t xml:space="preserve">Before the sprint, update the total working hours ("daily burnout") per day in row 31 columns I-V. For example, give 0 for sundays (if no one's working)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Tutorial:
Before the sprint, update the total working hours ("daily burnout") per day in row 31 columns I-V. For example, give 0 for sundays (if no one's working)
1- Define the tasks for each of user story (column E)
2 - Estimate the total time for each task (column F). You should UPDATE this estimations as necessary at any time.
3 - Pick up a task and change column G to your name.
4 - every sprint day (columns I-V), report how many hours you SPENT on that task on that day and update the estimated time to complete (step 2).
5 - Monitor team progress using the Sprint burndown chart below
</t>
      </text>
    </comment>
    <comment authorId="0" ref="F2">
      <text>
        <t xml:space="preserve">The estimated time can be updated whenever necessary (e.g. "how many more hours do I need to complete this taks?"). Changes will be reflected in the burndown chart.
Once a task is completed, the time spent (yellow boxes) MUST match the estimated, i.e., the estimation will corresponding to the total of hours spent on that task. </t>
      </text>
    </comment>
    <comment authorId="0" ref="I2">
      <text>
        <t xml:space="preserve">Monday
</t>
      </text>
    </comment>
    <comment authorId="0" ref="B3">
      <text>
        <t xml:space="preserve">formula
=SUM(F3:F17)</t>
      </text>
    </comment>
    <comment authorId="0" ref="C3">
      <text>
        <t xml:space="preserve">formula
=IF(B3&lt;SUM(I3:I17, J3:J17, K3:K17,L3:L17,M3:M17,N3:N17,O3:O17,P3:P17,Q3:Q17,R3:R17,S3:S17,T3:T17,U3:U17,V3:V17),SUM(I3:I17, J3:J17, K3:K17,L3:L17,M3:M17,N3:N17,O3:O17,P3:P17,Q3:Q17,R3:R17,S3:S17,T3:T17,U3:U17,V3:V17),B3)
</t>
      </text>
    </comment>
    <comment authorId="0" ref="D3">
      <text>
        <t xml:space="preserve">formula:
=IF(C3&gt;B3,$C3-(SUM(I3:I17, J3:J17, K3:K17,L3:L17,M3:M17,N3:N17,O3:O17,P3:P17,Q3:Q17,R3:R17,S3:S17,T3:T17,U3:U17,V3:V17)),$B3-(SUM(I3:I17, J3:J17, K3:K17,L3:L17,M3:M17,N3:N17,O3:O17,P3:P17,Q3:Q17,R3:R17,S3:S17,T3:T17,U3:U17,V3:V17)))</t>
      </text>
    </comment>
    <comment authorId="0" ref="B32">
      <text>
        <t xml:space="preserve">Number of extra working hours (negative: free hours after completing all tasks) (do not change it)</t>
      </text>
    </comment>
    <comment authorId="0" ref="C32">
      <text>
        <t xml:space="preserve">Estimated Percentage of time over (positive) or under (negative)</t>
      </text>
    </comment>
    <comment authorId="0" ref="I32">
      <text>
        <t xml:space="preserve">Before the sprint, update the total working hours ("daily burnout") per day in row 31 columns I-V. For example, give 0 for sundays (if no one's working)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Tutorial:
Before the sprint, update the total working hours ("daily burnout") per day in row 31 columns I-V. For example, give 0 for sundays (if no one's working)
1- Define the tasks for each of user story (column E)
2 - Estimate the total time for each task (column F). You should UPDATE this estimations as necessary at any time.
3 - Pick up a task and change column G to your name.
4 - every sprint day (columns I-V), report how many hours you SPENT on that task on that day and update the estimated time to complete (step 2).
5 - Monitor team progress using the Sprint burndown chart below
</t>
      </text>
    </comment>
    <comment authorId="0" ref="F2">
      <text>
        <t xml:space="preserve">The estimated time can be updated whenever necessary (e.g. "how many more hours do I need to complete this taks?"). Changes will be reflected in the burndown chart.
Once a task is completed, the time spent (yellow boxes) MUST match the estimated, i.e., the estimation will corresponding to the total of hours spent on that task. </t>
      </text>
    </comment>
    <comment authorId="0" ref="I2">
      <text>
        <t xml:space="preserve">Monday
</t>
      </text>
    </comment>
    <comment authorId="0" ref="B3">
      <text>
        <t xml:space="preserve">formula
=SUM(F3:F17)</t>
      </text>
    </comment>
    <comment authorId="0" ref="C3">
      <text>
        <t xml:space="preserve">formula
=IF(B3&lt;SUM(I3:I17, J3:J17, K3:K17,L3:L17,M3:M17,N3:N17,O3:O17,P3:P17,Q3:Q17,R3:R17,S3:S17,T3:T17,U3:U17,V3:V17),SUM(I3:I17, J3:J17, K3:K17,L3:L17,M3:M17,N3:N17,O3:O17,P3:P17,Q3:Q17,R3:R17,S3:S17,T3:T17,U3:U17,V3:V17),B3)
</t>
      </text>
    </comment>
    <comment authorId="0" ref="D3">
      <text>
        <t xml:space="preserve">formula:
=IF(C3&gt;B3,$C3-(SUM(I3:I17, J3:J17, K3:K17,L3:L17,M3:M17,N3:N17,O3:O17,P3:P17,Q3:Q17,R3:R17,S3:S17,T3:T17,U3:U17,V3:V17)),$B3-(SUM(I3:I17, J3:J17, K3:K17,L3:L17,M3:M17,N3:N17,O3:O17,P3:P17,Q3:Q17,R3:R17,S3:S17,T3:T17,U3:U17,V3:V17)))</t>
      </text>
    </comment>
    <comment authorId="0" ref="B32">
      <text>
        <t xml:space="preserve">Number of extra working hours (negative: free hours after completing all tasks) (do not change it)</t>
      </text>
    </comment>
    <comment authorId="0" ref="C32">
      <text>
        <t xml:space="preserve">Estimated Percentage of time over (positive) or under (negative)</t>
      </text>
    </comment>
    <comment authorId="0" ref="I32">
      <text>
        <t xml:space="preserve">Before the sprint, update the total working hours ("daily burnout") per day in row 31 columns I-V. For example, give 0 for sundays (if no one's working)</t>
      </text>
    </comment>
  </commentList>
</comments>
</file>

<file path=xl/sharedStrings.xml><?xml version="1.0" encoding="utf-8"?>
<sst xmlns="http://schemas.openxmlformats.org/spreadsheetml/2006/main" count="408" uniqueCount="177">
  <si>
    <t xml:space="preserve"> </t>
  </si>
  <si>
    <t>Story Points</t>
  </si>
  <si>
    <t>Sprint</t>
  </si>
  <si>
    <t>Stakeholder</t>
  </si>
  <si>
    <t>Wants to...</t>
  </si>
  <si>
    <t>So that...</t>
  </si>
  <si>
    <t>User</t>
  </si>
  <si>
    <t>View information about the charity and race</t>
  </si>
  <si>
    <t>They understand the events purpose and goals</t>
  </si>
  <si>
    <t>View race date, time, and location</t>
  </si>
  <si>
    <t>They know when and where the race takes place</t>
  </si>
  <si>
    <t>Access the site on mobile, tablet, and desktop</t>
  </si>
  <si>
    <t>They can use the site on any device with good user experience.</t>
  </si>
  <si>
    <t>View the route and layout of the race</t>
  </si>
  <si>
    <t>They know where they are going and the boundaries of the race</t>
  </si>
  <si>
    <t>Register for the 5k with name, email, age, emergency contact and password</t>
  </si>
  <si>
    <t>They can be prepared to participate in the race</t>
  </si>
  <si>
    <t>Log in securely to their account</t>
  </si>
  <si>
    <t>They can access exclusive race information</t>
  </si>
  <si>
    <t>Receive error messages for incorrect login or missing registration fields</t>
  </si>
  <si>
    <t>They understand what needs to be corrected</t>
  </si>
  <si>
    <t>create or join a team by entering a team name</t>
  </si>
  <si>
    <t>They can run as a group with family and friends</t>
  </si>
  <si>
    <t>View race-day schedule</t>
  </si>
  <si>
    <t>They know event timing and check in times</t>
  </si>
  <si>
    <t>View teammates</t>
  </si>
  <si>
    <t>So they can plan together for the race</t>
  </si>
  <si>
    <t>View addition race instructions and rules</t>
  </si>
  <si>
    <t>To further prepare for race day</t>
  </si>
  <si>
    <t>Client administrator</t>
  </si>
  <si>
    <t>View a table of all registered runners</t>
  </si>
  <si>
    <t>They can manage participation</t>
  </si>
  <si>
    <t>Promote a registered user to admin</t>
  </si>
  <si>
    <t>Responsibilities can be shared</t>
  </si>
  <si>
    <t>Developer</t>
  </si>
  <si>
    <t>Automatically make the first registered user an admin</t>
  </si>
  <si>
    <t>The system has an initial administration</t>
  </si>
  <si>
    <t>Advertiser</t>
  </si>
  <si>
    <t>Send email reminders about race day</t>
  </si>
  <si>
    <t>To keep people informed</t>
  </si>
  <si>
    <t>Configuration Manager</t>
  </si>
  <si>
    <t>Configure email reminder timing</t>
  </si>
  <si>
    <t>Notifications are sent at appropriate intervals to prevent spamming or info being hidden</t>
  </si>
  <si>
    <t>Past stories</t>
  </si>
  <si>
    <t>Get all development tools working on local machine</t>
  </si>
  <si>
    <t>The team can begin development</t>
  </si>
  <si>
    <t>Identify hosting and deployment infrastructure</t>
  </si>
  <si>
    <t>the code can run</t>
  </si>
  <si>
    <t>The application can be deployed</t>
  </si>
  <si>
    <t>Set up project repository in Github</t>
  </si>
  <si>
    <t>Code can be version controlled</t>
  </si>
  <si>
    <t>Create initial project structure any folders layout etc</t>
  </si>
  <si>
    <t>The team has a clean development foundation</t>
  </si>
  <si>
    <t>Configure database connection locally</t>
  </si>
  <si>
    <t>Data can be stored and tested</t>
  </si>
  <si>
    <t>Define environment configuration settings</t>
  </si>
  <si>
    <t>The apps runs consistently across environments</t>
  </si>
  <si>
    <t>Install and configure UI framework</t>
  </si>
  <si>
    <t>Responsive design can be implemented efficiently</t>
  </si>
  <si>
    <t>Create deployment checklist</t>
  </si>
  <si>
    <t>Production deployment is controlled and repeatable</t>
  </si>
  <si>
    <t>Sprint's Goal: "Public Website, Registration, and Basic Login System"</t>
  </si>
  <si>
    <t>Start Date:</t>
  </si>
  <si>
    <t>Work Done per day per task [Hours]</t>
  </si>
  <si>
    <t>User Story</t>
  </si>
  <si>
    <t>Time (est)</t>
  </si>
  <si>
    <t>Time (spent)</t>
  </si>
  <si>
    <t>Time (left)</t>
  </si>
  <si>
    <t>Task</t>
  </si>
  <si>
    <t>Who's working</t>
  </si>
  <si>
    <t>Status</t>
  </si>
  <si>
    <t>View Charity and Race Information</t>
  </si>
  <si>
    <t>Create homepage layout</t>
  </si>
  <si>
    <t>Daniel Howard</t>
  </si>
  <si>
    <t>Done</t>
  </si>
  <si>
    <t>Add charity mission section on the UI</t>
  </si>
  <si>
    <t>Bryce Batey</t>
  </si>
  <si>
    <t>Add race date/location information section</t>
  </si>
  <si>
    <t>Ponpawit Potisom</t>
  </si>
  <si>
    <t>add navigation bar</t>
  </si>
  <si>
    <t>Finish last touch up for homepage</t>
  </si>
  <si>
    <t>-</t>
  </si>
  <si>
    <t>User Register for 5K</t>
  </si>
  <si>
    <t>Design registration page UI</t>
  </si>
  <si>
    <t>Add required fields (basic info)</t>
  </si>
  <si>
    <t>Create database user table</t>
  </si>
  <si>
    <t>Login System / Display logiin errors</t>
  </si>
  <si>
    <t>Create login page UI</t>
  </si>
  <si>
    <t>Implement login logic + logout feature</t>
  </si>
  <si>
    <t>Implement session management</t>
  </si>
  <si>
    <t>registration vaildation messages + login error messages</t>
  </si>
  <si>
    <t>TOTAL</t>
  </si>
  <si>
    <t>Daily burnout</t>
  </si>
  <si>
    <t>Total time left (from estimate)</t>
  </si>
  <si>
    <t>Estimate</t>
  </si>
  <si>
    <t>Total time left (from spent)</t>
  </si>
  <si>
    <t>Burnout</t>
  </si>
  <si>
    <t>Complexity (story points)</t>
  </si>
  <si>
    <t>Sprint's Goal: "User Registration, Login, and Dashboard System"</t>
  </si>
  <si>
    <t>User Registration</t>
  </si>
  <si>
    <t>Add input fields (name, email, age)</t>
  </si>
  <si>
    <t>Add password + team field</t>
  </si>
  <si>
    <t>Add form validation</t>
  </si>
  <si>
    <t>Prevent duplicate email</t>
  </si>
  <si>
    <t>Store user data</t>
  </si>
  <si>
    <t>Login System</t>
  </si>
  <si>
    <t>Implement login authentication</t>
  </si>
  <si>
    <t>Add error handling (wrong password)</t>
  </si>
  <si>
    <t>Basic Navigation</t>
  </si>
  <si>
    <t>Build navigation bar</t>
  </si>
  <si>
    <t>Link pages (Home, Login, Register)</t>
  </si>
  <si>
    <t>Add button navigation logic</t>
  </si>
  <si>
    <t>Add logout functionality</t>
  </si>
  <si>
    <t>Sprint's Goal: Build user dashboard + admin page and display personalized data</t>
  </si>
  <si>
    <t>Dashboard Page</t>
  </si>
  <si>
    <t>Create dashboard layout</t>
  </si>
  <si>
    <t>Display user info</t>
  </si>
  <si>
    <t>Show team members</t>
  </si>
  <si>
    <t>Add checklist section</t>
  </si>
  <si>
    <t>Display race schedule</t>
  </si>
  <si>
    <t>Double check if it works</t>
  </si>
  <si>
    <t>Data Integration</t>
  </si>
  <si>
    <t>Load user data after login</t>
  </si>
  <si>
    <t>Connect dashboard to stored data</t>
  </si>
  <si>
    <t>Update UI dynamically</t>
  </si>
  <si>
    <t>Admin Panel</t>
  </si>
  <si>
    <t>Create admin page UI</t>
  </si>
  <si>
    <t>Build basic users table</t>
  </si>
  <si>
    <t>Improve table layout</t>
  </si>
  <si>
    <t>Display user data (name, email, age, team)</t>
  </si>
  <si>
    <t>Sprint's Goal: Build backend system and improve login security + overall project</t>
  </si>
  <si>
    <t>Backend Integration</t>
  </si>
  <si>
    <t>Set up basic backend (server)</t>
  </si>
  <si>
    <t>TODO</t>
  </si>
  <si>
    <t>Connect frontend to backend</t>
  </si>
  <si>
    <t>Create user database table</t>
  </si>
  <si>
    <t>Save user registration data</t>
  </si>
  <si>
    <t>Load user data for dashboard</t>
  </si>
  <si>
    <t>Test backend connection and fix bugs</t>
  </si>
  <si>
    <t>Secure Login System</t>
  </si>
  <si>
    <t>Improve login authentication logic</t>
  </si>
  <si>
    <t>Show error messages for wrong login</t>
  </si>
  <si>
    <t>Protect admin access</t>
  </si>
  <si>
    <t>Admin Panel Improvements</t>
  </si>
  <si>
    <t>Connect admin panel to backend</t>
  </si>
  <si>
    <t>Add search users feature</t>
  </si>
  <si>
    <t>Add edit user option</t>
  </si>
  <si>
    <t>Improve table performance</t>
  </si>
  <si>
    <t>Sprint's Goal: Improve backend, make login more secure, and fix UI issues</t>
  </si>
  <si>
    <t>Backend Improvements</t>
  </si>
  <si>
    <t>Improve database structure</t>
  </si>
  <si>
    <t>Optimize data loading</t>
  </si>
  <si>
    <t>Improve backend routes</t>
  </si>
  <si>
    <t>Fix backend bugs</t>
  </si>
  <si>
    <t>Test backend performance</t>
  </si>
  <si>
    <t>Add color styling to improve UI design</t>
  </si>
  <si>
    <t>Security Improvements</t>
  </si>
  <si>
    <t>Improve password security</t>
  </si>
  <si>
    <t>Improve login</t>
  </si>
  <si>
    <t>Test login system</t>
  </si>
  <si>
    <t>UI &amp; UX Improvements</t>
  </si>
  <si>
    <t>Improve navigation flow</t>
  </si>
  <si>
    <t>Improve button and form design</t>
  </si>
  <si>
    <t>Make pages more consistent</t>
  </si>
  <si>
    <t>Test user experience</t>
  </si>
  <si>
    <t>Name</t>
  </si>
  <si>
    <t>How often we meet</t>
  </si>
  <si>
    <t>Roal</t>
  </si>
  <si>
    <t>How we meet</t>
  </si>
  <si>
    <t>1 time per week</t>
  </si>
  <si>
    <t>Scum Leader</t>
  </si>
  <si>
    <t>In-person</t>
  </si>
  <si>
    <t>Discord</t>
  </si>
  <si>
    <t>Working</t>
  </si>
  <si>
    <t>Blocked</t>
  </si>
  <si>
    <t>Verify</t>
  </si>
  <si>
    <t>Moderator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</si>
</sst>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&quot;/&quot;d"/>
  </numFmts>
  <fonts count="16">
    <font>
      <sz val="10.0"/>
      <color rgb="FF000000"/>
      <name val="Arial"/>
    </font>
    <font>
      <b/>
      <sz val="12.0"/>
    </font>
    <font/>
    <font>
      <sz val="11.0"/>
    </font>
    <font>
      <sz val="11.0"/>
      <color rgb="FF000000"/>
    </font>
    <font>
      <sz val="12.0"/>
    </font>
    <font>
      <b/>
      <sz val="10.0"/>
      <color rgb="FF666666"/>
    </font>
    <font>
      <b/>
      <sz val="12.0"/>
      <color rgb="FF274E13"/>
    </font>
    <font>
      <b/>
      <sz val="10.0"/>
      <color rgb="FF274E13"/>
    </font>
    <font>
      <b/>
      <sz val="10.0"/>
    </font>
    <font>
      <sz val="10.0"/>
      <color rgb="FF666666"/>
    </font>
    <font>
      <sz val="10.0"/>
      <color rgb="FF274E13"/>
    </font>
    <font>
      <sz val="11.0"/>
      <color rgb="FF274E13"/>
    </font>
    <font>
      <b/>
      <sz val="11.0"/>
      <color rgb="FF274E13"/>
    </font>
    <font>
      <b/>
      <sz val="8.0"/>
      <color rgb="FF333333"/>
    </font>
    <font>
      <b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DDDDDD"/>
        <bgColor rgb="FFDDDDDD"/>
      </patternFill>
    </fill>
  </fills>
  <borders count="2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000000"/>
      </right>
    </border>
    <border>
      <right style="thin">
        <color rgb="FF999999"/>
      </right>
    </border>
    <border>
      <left style="thin">
        <color rgb="FF000000"/>
      </left>
    </border>
    <border>
      <left style="thin">
        <color rgb="FF999999"/>
      </left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000000"/>
      </left>
      <bottom style="thin">
        <color rgb="FF999999"/>
      </bottom>
    </border>
    <border>
      <bottom style="thin">
        <color rgb="FF999999"/>
      </bottom>
    </border>
    <border>
      <right style="thin">
        <color rgb="FF000000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000000"/>
      </left>
      <top style="thin">
        <color rgb="FF999999"/>
      </top>
    </border>
    <border>
      <top style="thin">
        <color rgb="FF999999"/>
      </top>
    </border>
    <border>
      <right style="thin">
        <color rgb="FF000000"/>
      </righ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left style="thin">
        <color rgb="FF999999"/>
      </left>
      <top style="thin">
        <color rgb="FF999999"/>
      </top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readingOrder="0" shrinkToFit="0" wrapText="1"/>
    </xf>
    <xf borderId="0" fillId="3" fontId="2" numFmtId="0" xfId="0" applyAlignment="1" applyFont="1">
      <alignment shrinkToFit="0" wrapText="1"/>
    </xf>
    <xf borderId="1" fillId="3" fontId="2" numFmtId="0" xfId="0" applyAlignment="1" applyBorder="1" applyFont="1">
      <alignment readingOrder="0" shrinkToFit="0" vertical="center" wrapText="1"/>
    </xf>
    <xf borderId="0" fillId="3" fontId="2" numFmtId="0" xfId="0" applyAlignment="1" applyFont="1">
      <alignment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0" fillId="4" fontId="2" numFmtId="0" xfId="0" applyAlignment="1" applyFont="1">
      <alignment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5" fontId="2" numFmtId="0" xfId="0" applyAlignment="1" applyFill="1" applyFont="1">
      <alignment horizontal="right" readingOrder="0" shrinkToFit="0" vertical="center" wrapText="1"/>
    </xf>
    <xf borderId="5" fillId="5" fontId="2" numFmtId="164" xfId="0" applyAlignment="1" applyBorder="1" applyFont="1" applyNumberFormat="1">
      <alignment horizontal="left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6" fillId="0" fontId="2" numFmtId="0" xfId="0" applyAlignment="1" applyBorder="1" applyFont="1">
      <alignment shrinkToFit="0" wrapText="1"/>
    </xf>
    <xf borderId="0" fillId="6" fontId="1" numFmtId="0" xfId="0" applyAlignment="1" applyFont="1">
      <alignment horizontal="center" readingOrder="0" shrinkToFit="0" vertical="bottom" wrapText="1"/>
    </xf>
    <xf borderId="0" fillId="6" fontId="6" numFmtId="0" xfId="0" applyAlignment="1" applyFont="1">
      <alignment horizontal="center" readingOrder="0" shrinkToFit="0" vertical="bottom" wrapText="1"/>
    </xf>
    <xf borderId="7" fillId="6" fontId="7" numFmtId="0" xfId="0" applyAlignment="1" applyBorder="1" applyFont="1">
      <alignment horizontal="center" readingOrder="0" shrinkToFit="0" vertical="bottom" wrapText="1"/>
    </xf>
    <xf borderId="0" fillId="6" fontId="8" numFmtId="0" xfId="0" applyAlignment="1" applyFont="1">
      <alignment horizontal="center" readingOrder="0" shrinkToFit="0" vertical="bottom" wrapText="1"/>
    </xf>
    <xf borderId="0" fillId="6" fontId="7" numFmtId="0" xfId="0" applyAlignment="1" applyFont="1">
      <alignment horizontal="center" readingOrder="0" shrinkToFit="0" vertical="bottom" wrapText="1"/>
    </xf>
    <xf borderId="5" fillId="6" fontId="7" numFmtId="0" xfId="0" applyAlignment="1" applyBorder="1" applyFont="1">
      <alignment horizontal="center" readingOrder="0" shrinkToFit="0" vertical="bottom" wrapText="1"/>
    </xf>
    <xf borderId="0" fillId="6" fontId="9" numFmtId="165" xfId="0" applyAlignment="1" applyFont="1" applyNumberForma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8" fillId="7" fontId="10" numFmtId="0" xfId="0" applyAlignment="1" applyBorder="1" applyFill="1" applyFont="1">
      <alignment horizontal="center" readingOrder="0" shrinkToFit="0" vertical="center" wrapText="1"/>
    </xf>
    <xf borderId="0" fillId="7" fontId="10" numFmtId="0" xfId="0" applyAlignment="1" applyFont="1">
      <alignment horizontal="center" readingOrder="0" shrinkToFit="0" vertical="center" wrapText="1"/>
    </xf>
    <xf borderId="7" fillId="0" fontId="11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8" fontId="11" numFmtId="0" xfId="0" applyAlignment="1" applyFill="1" applyFont="1">
      <alignment shrinkToFit="0" vertical="center" wrapText="1"/>
    </xf>
    <xf borderId="0" fillId="4" fontId="11" numFmtId="0" xfId="0" applyAlignment="1" applyFont="1">
      <alignment shrinkToFit="0" vertical="center" wrapText="1"/>
    </xf>
    <xf borderId="6" fillId="4" fontId="11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shrinkToFit="0" wrapText="1"/>
    </xf>
    <xf borderId="9" fillId="3" fontId="3" numFmtId="0" xfId="0" applyAlignment="1" applyBorder="1" applyFont="1">
      <alignment readingOrder="0" shrinkToFit="0" vertical="center" wrapText="1"/>
    </xf>
    <xf borderId="9" fillId="7" fontId="10" numFmtId="0" xfId="0" applyAlignment="1" applyBorder="1" applyFont="1">
      <alignment horizontal="center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11" fillId="0" fontId="2" numFmtId="0" xfId="0" applyAlignment="1" applyBorder="1" applyFont="1">
      <alignment shrinkToFit="0" wrapText="1"/>
    </xf>
    <xf borderId="12" fillId="0" fontId="2" numFmtId="0" xfId="0" applyAlignment="1" applyBorder="1" applyFont="1">
      <alignment shrinkToFit="0" wrapText="1"/>
    </xf>
    <xf borderId="0" fillId="0" fontId="12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13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shrinkToFit="0" wrapText="1"/>
    </xf>
    <xf borderId="0" fillId="0" fontId="8" numFmtId="0" xfId="0" applyAlignment="1" applyFont="1">
      <alignment horizontal="center" readingOrder="0" shrinkToFit="0" vertical="center" wrapText="1"/>
    </xf>
    <xf borderId="0" fillId="8" fontId="11" numFmtId="0" xfId="0" applyAlignment="1" applyFont="1">
      <alignment readingOrder="0" shrinkToFit="0" vertical="center" wrapText="1"/>
    </xf>
    <xf borderId="15" fillId="0" fontId="11" numFmtId="0" xfId="0" applyAlignment="1" applyBorder="1" applyFont="1">
      <alignment horizontal="left" readingOrder="0" shrinkToFit="0" vertical="center" wrapText="1"/>
    </xf>
    <xf borderId="16" fillId="0" fontId="8" numFmtId="0" xfId="0" applyAlignment="1" applyBorder="1" applyFont="1">
      <alignment horizontal="center" readingOrder="0" shrinkToFit="0" vertical="center" wrapText="1"/>
    </xf>
    <xf borderId="16" fillId="0" fontId="11" numFmtId="0" xfId="0" applyAlignment="1" applyBorder="1" applyFont="1">
      <alignment horizontal="center" readingOrder="0" shrinkToFit="0" vertical="center" wrapText="1"/>
    </xf>
    <xf borderId="17" fillId="0" fontId="11" numFmtId="0" xfId="0" applyAlignment="1" applyBorder="1" applyFont="1">
      <alignment horizontal="center" readingOrder="0" shrinkToFit="0" vertical="center" wrapText="1"/>
    </xf>
    <xf borderId="16" fillId="0" fontId="12" numFmtId="0" xfId="0" applyAlignment="1" applyBorder="1" applyFont="1">
      <alignment readingOrder="0" shrinkToFit="0" vertical="center" wrapText="1"/>
    </xf>
    <xf borderId="16" fillId="0" fontId="12" numFmtId="0" xfId="0" applyAlignment="1" applyBorder="1" applyFont="1">
      <alignment shrinkToFit="0" vertical="center" wrapText="1"/>
    </xf>
    <xf borderId="16" fillId="0" fontId="11" numFmtId="0" xfId="0" applyAlignment="1" applyBorder="1" applyFont="1">
      <alignment shrinkToFit="0" vertical="center" wrapText="1"/>
    </xf>
    <xf borderId="16" fillId="0" fontId="11" numFmtId="0" xfId="0" applyAlignment="1" applyBorder="1" applyFont="1">
      <alignment readingOrder="0" shrinkToFit="0" vertical="center" wrapText="1"/>
    </xf>
    <xf borderId="16" fillId="8" fontId="11" numFmtId="0" xfId="0" applyAlignment="1" applyBorder="1" applyFont="1">
      <alignment shrinkToFit="0" vertical="center" wrapText="1"/>
    </xf>
    <xf borderId="16" fillId="4" fontId="11" numFmtId="0" xfId="0" applyAlignment="1" applyBorder="1" applyFont="1">
      <alignment shrinkToFit="0" vertical="center" wrapText="1"/>
    </xf>
    <xf borderId="18" fillId="4" fontId="11" numFmtId="0" xfId="0" applyAlignment="1" applyBorder="1" applyFont="1">
      <alignment shrinkToFit="0" vertical="center" wrapText="1"/>
    </xf>
    <xf borderId="19" fillId="6" fontId="2" numFmtId="0" xfId="0" applyAlignment="1" applyBorder="1" applyFont="1">
      <alignment horizontal="center" readingOrder="0" shrinkToFit="0" vertical="center" wrapText="1"/>
    </xf>
    <xf borderId="8" fillId="6" fontId="10" numFmtId="0" xfId="0" applyAlignment="1" applyBorder="1" applyFont="1">
      <alignment horizontal="center" shrinkToFit="0" vertical="center" wrapText="1"/>
    </xf>
    <xf borderId="0" fillId="6" fontId="10" numFmtId="0" xfId="0" applyAlignment="1" applyFont="1">
      <alignment horizontal="center" shrinkToFit="0" vertical="center" wrapText="1"/>
    </xf>
    <xf borderId="20" fillId="6" fontId="11" numFmtId="0" xfId="0" applyAlignment="1" applyBorder="1" applyFont="1">
      <alignment horizontal="center" shrinkToFit="0" vertical="center" wrapText="1"/>
    </xf>
    <xf borderId="21" fillId="6" fontId="8" numFmtId="0" xfId="0" applyAlignment="1" applyBorder="1" applyFont="1">
      <alignment horizontal="center" shrinkToFit="0" vertical="center" wrapText="1"/>
    </xf>
    <xf borderId="21" fillId="6" fontId="11" numFmtId="0" xfId="0" applyAlignment="1" applyBorder="1" applyFont="1">
      <alignment horizontal="center" shrinkToFit="0" vertical="center" wrapText="1"/>
    </xf>
    <xf borderId="22" fillId="6" fontId="11" numFmtId="0" xfId="0" applyAlignment="1" applyBorder="1" applyFont="1">
      <alignment horizontal="center" shrinkToFit="0" vertical="center" wrapText="1"/>
    </xf>
    <xf borderId="21" fillId="6" fontId="3" numFmtId="0" xfId="0" applyAlignment="1" applyBorder="1" applyFont="1">
      <alignment shrinkToFit="0" vertical="center" wrapText="1"/>
    </xf>
    <xf borderId="23" fillId="6" fontId="3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0" fillId="9" fontId="10" numFmtId="0" xfId="0" applyAlignment="1" applyFill="1" applyFont="1">
      <alignment horizontal="center" shrinkToFit="0" vertical="center" wrapText="1"/>
    </xf>
    <xf borderId="0" fillId="9" fontId="10" numFmtId="10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shrinkToFit="0" vertical="center" wrapText="1"/>
    </xf>
    <xf borderId="19" fillId="0" fontId="13" numFmtId="0" xfId="0" applyAlignment="1" applyBorder="1" applyFont="1">
      <alignment shrinkToFit="0" vertical="center" wrapText="1"/>
    </xf>
    <xf borderId="19" fillId="0" fontId="13" numFmtId="0" xfId="0" applyAlignment="1" applyBorder="1" applyFont="1">
      <alignment readingOrder="0" shrinkToFit="0" vertical="center" wrapText="1"/>
    </xf>
    <xf borderId="8" fillId="0" fontId="13" numFmtId="0" xfId="0" applyAlignment="1" applyBorder="1" applyFont="1">
      <alignment readingOrder="0" shrinkToFit="0" vertical="center" wrapText="1"/>
    </xf>
    <xf borderId="8" fillId="10" fontId="14" numFmtId="0" xfId="0" applyAlignment="1" applyBorder="1" applyFill="1" applyFont="1">
      <alignment readingOrder="0" shrinkToFit="0" wrapText="1"/>
    </xf>
    <xf borderId="0" fillId="0" fontId="11" numFmtId="0" xfId="0" applyAlignment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24" fillId="10" fontId="14" numFmtId="0" xfId="0" applyAlignment="1" applyBorder="1" applyFont="1">
      <alignment readingOrder="0" shrinkToFit="0" wrapText="1"/>
    </xf>
    <xf borderId="16" fillId="0" fontId="10" numFmtId="0" xfId="0" applyAlignment="1" applyBorder="1" applyFont="1">
      <alignment horizontal="center" shrinkToFit="0" vertical="center" wrapText="1"/>
    </xf>
    <xf borderId="15" fillId="0" fontId="11" numFmtId="0" xfId="0" applyAlignment="1" applyBorder="1" applyFont="1">
      <alignment horizontal="center"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 readingOrder="0" shrinkToFit="0" vertical="center" wrapText="1"/>
    </xf>
    <xf borderId="17" fillId="0" fontId="11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shrinkToFit="0" vertical="center" wrapText="1"/>
    </xf>
    <xf borderId="18" fillId="0" fontId="3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10" numFmtId="0" xfId="0" applyAlignment="1" applyBorder="1" applyFont="1">
      <alignment horizontal="center" shrinkToFit="0" vertical="center" wrapText="1"/>
    </xf>
    <xf borderId="20" fillId="0" fontId="11" numFmtId="0" xfId="0" applyAlignment="1" applyBorder="1" applyFont="1">
      <alignment horizontal="center" shrinkToFit="0" vertical="center" wrapText="1"/>
    </xf>
    <xf borderId="21" fillId="0" fontId="8" numFmtId="0" xfId="0" applyAlignment="1" applyBorder="1" applyFont="1">
      <alignment horizontal="center" shrinkToFit="0" vertical="center" wrapText="1"/>
    </xf>
    <xf borderId="21" fillId="0" fontId="11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25" fillId="0" fontId="3" numFmtId="0" xfId="0" applyAlignment="1" applyBorder="1" applyFont="1">
      <alignment shrinkToFit="0" vertical="center" wrapText="1"/>
    </xf>
    <xf borderId="21" fillId="0" fontId="3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0" fillId="4" fontId="10" numFmtId="0" xfId="0" applyAlignment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5" fillId="5" fontId="2" numFmtId="164" xfId="0" applyAlignment="1" applyBorder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8" fontId="11" numFmtId="0" xfId="0" applyAlignment="1" applyFont="1">
      <alignment horizontal="center" shrinkToFit="0" vertical="center" wrapText="1"/>
    </xf>
    <xf borderId="0" fillId="4" fontId="11" numFmtId="0" xfId="0" applyAlignment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8" fontId="11" numFmtId="0" xfId="0" applyAlignment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horizontal="center" readingOrder="0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16" fillId="8" fontId="11" numFmtId="0" xfId="0" applyAlignment="1" applyBorder="1" applyFont="1">
      <alignment horizontal="center" shrinkToFit="0" vertical="center" wrapText="1"/>
    </xf>
    <xf borderId="16" fillId="4" fontId="11" numFmtId="0" xfId="0" applyAlignment="1" applyBorder="1" applyFont="1">
      <alignment horizontal="center" shrinkToFit="0" vertical="center" wrapText="1"/>
    </xf>
    <xf borderId="18" fillId="4" fontId="11" numFmtId="0" xfId="0" applyAlignment="1" applyBorder="1" applyFont="1">
      <alignment horizontal="center" shrinkToFit="0" vertical="center" wrapText="1"/>
    </xf>
    <xf borderId="21" fillId="6" fontId="3" numFmtId="0" xfId="0" applyAlignment="1" applyBorder="1" applyFont="1">
      <alignment horizontal="center" shrinkToFit="0" vertical="center" wrapText="1"/>
    </xf>
    <xf borderId="23" fillId="6" fontId="3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8" fillId="10" fontId="14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shrinkToFit="0" vertical="center" wrapText="1"/>
    </xf>
    <xf borderId="24" fillId="10" fontId="14" numFmtId="0" xfId="0" applyAlignment="1" applyBorder="1" applyFont="1">
      <alignment horizontal="center" readingOrder="0" shrinkToFit="0" wrapText="1"/>
    </xf>
    <xf borderId="16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17" fillId="0" fontId="11" numFmtId="0" xfId="0" applyAlignment="1" applyBorder="1" applyFont="1">
      <alignment horizontal="center" readingOrder="0" shrinkToFit="0" vertical="center" wrapText="1"/>
    </xf>
    <xf borderId="16" fillId="0" fontId="12" numFmtId="0" xfId="0" applyAlignment="1" applyBorder="1" applyFont="1">
      <alignment horizontal="center" readingOrder="0" shrinkToFit="0" vertical="center" wrapText="1"/>
    </xf>
    <xf borderId="0" fillId="4" fontId="11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7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008000"/>
      </font>
      <fill>
        <patternFill patternType="solid">
          <fgColor rgb="FFCCFFCC"/>
          <bgColor rgb="FFCCFFCC"/>
        </patternFill>
      </fill>
      <border/>
    </dxf>
    <dxf>
      <font>
        <color rgb="FF999999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Sprint Burndown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'Sprint Backlog (weeks 1-2)'!$G$33</c:f>
            </c:strRef>
          </c:tx>
          <c:spPr>
            <a:solidFill>
              <a:srgbClr val="3366CC">
                <a:alpha val="30000"/>
              </a:srgbClr>
            </a:solidFill>
            <a:ln cmpd="sng">
              <a:solidFill>
                <a:srgbClr val="3366CC"/>
              </a:solidFill>
            </a:ln>
          </c:spPr>
          <c:val>
            <c:numRef>
              <c:f>'Sprint Backlog (weeks 1-2)'!$H$33:$V$33</c:f>
              <c:numCache/>
            </c:numRef>
          </c:val>
        </c:ser>
        <c:ser>
          <c:idx val="1"/>
          <c:order val="1"/>
          <c:tx>
            <c:strRef>
              <c:f>'Sprint Backlog (weeks 1-2)'!$G$34</c:f>
            </c:strRef>
          </c:tx>
          <c:spPr>
            <a:solidFill>
              <a:srgbClr val="DC3912">
                <a:alpha val="30000"/>
              </a:srgbClr>
            </a:solidFill>
            <a:ln cmpd="sng">
              <a:solidFill>
                <a:srgbClr val="DC3912"/>
              </a:solidFill>
            </a:ln>
          </c:spPr>
          <c:val>
            <c:numRef>
              <c:f>'Sprint Backlog (weeks 1-2)'!$H$34:$V$34</c:f>
              <c:numCache/>
            </c:numRef>
          </c:val>
        </c:ser>
        <c:axId val="792073589"/>
        <c:axId val="1696960779"/>
      </c:areaChart>
      <c:catAx>
        <c:axId val="792073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Days in Calendar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96960779"/>
      </c:catAx>
      <c:valAx>
        <c:axId val="1696960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Hours left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207358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Sprint Burndown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'Sprint Backlog (weeks 3-4)'!$G$33</c:f>
            </c:strRef>
          </c:tx>
          <c:spPr>
            <a:solidFill>
              <a:srgbClr val="3366CC">
                <a:alpha val="30000"/>
              </a:srgbClr>
            </a:solidFill>
            <a:ln cmpd="sng">
              <a:solidFill>
                <a:srgbClr val="3366CC"/>
              </a:solidFill>
            </a:ln>
          </c:spPr>
          <c:val>
            <c:numRef>
              <c:f>'Sprint Backlog (weeks 3-4)'!$H$33:$V$33</c:f>
              <c:numCache/>
            </c:numRef>
          </c:val>
        </c:ser>
        <c:ser>
          <c:idx val="1"/>
          <c:order val="1"/>
          <c:tx>
            <c:strRef>
              <c:f>'Sprint Backlog (weeks 3-4)'!$G$34</c:f>
            </c:strRef>
          </c:tx>
          <c:spPr>
            <a:solidFill>
              <a:srgbClr val="DC3912">
                <a:alpha val="30000"/>
              </a:srgbClr>
            </a:solidFill>
            <a:ln cmpd="sng">
              <a:solidFill>
                <a:srgbClr val="DC3912"/>
              </a:solidFill>
            </a:ln>
          </c:spPr>
          <c:val>
            <c:numRef>
              <c:f>'Sprint Backlog (weeks 3-4)'!$H$34:$V$34</c:f>
              <c:numCache/>
            </c:numRef>
          </c:val>
        </c:ser>
        <c:axId val="2004819950"/>
        <c:axId val="309464737"/>
      </c:areaChart>
      <c:catAx>
        <c:axId val="2004819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Days in Calendar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9464737"/>
      </c:catAx>
      <c:valAx>
        <c:axId val="309464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Hours left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481995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Sprint Burndown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'Sprint Backlog (weeks 5-6)'!$G$33</c:f>
            </c:strRef>
          </c:tx>
          <c:spPr>
            <a:solidFill>
              <a:srgbClr val="3366CC">
                <a:alpha val="30000"/>
              </a:srgbClr>
            </a:solidFill>
            <a:ln cmpd="sng">
              <a:solidFill>
                <a:srgbClr val="3366CC"/>
              </a:solidFill>
            </a:ln>
          </c:spPr>
          <c:val>
            <c:numRef>
              <c:f>'Sprint Backlog (weeks 5-6)'!$H$33:$V$33</c:f>
              <c:numCache/>
            </c:numRef>
          </c:val>
        </c:ser>
        <c:ser>
          <c:idx val="1"/>
          <c:order val="1"/>
          <c:tx>
            <c:strRef>
              <c:f>'Sprint Backlog (weeks 5-6)'!$G$34</c:f>
            </c:strRef>
          </c:tx>
          <c:spPr>
            <a:solidFill>
              <a:srgbClr val="DC3912">
                <a:alpha val="30000"/>
              </a:srgbClr>
            </a:solidFill>
            <a:ln cmpd="sng">
              <a:solidFill>
                <a:srgbClr val="DC3912"/>
              </a:solidFill>
            </a:ln>
          </c:spPr>
          <c:val>
            <c:numRef>
              <c:f>'Sprint Backlog (weeks 5-6)'!$H$34:$V$34</c:f>
              <c:numCache/>
            </c:numRef>
          </c:val>
        </c:ser>
        <c:axId val="704201208"/>
        <c:axId val="419876673"/>
      </c:areaChart>
      <c:catAx>
        <c:axId val="704201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Days in Calendar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19876673"/>
      </c:catAx>
      <c:valAx>
        <c:axId val="419876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Hours left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420120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Sprint Burndown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'Sprint Backlog (weeks 7-8)'!$G$33</c:f>
            </c:strRef>
          </c:tx>
          <c:spPr>
            <a:solidFill>
              <a:srgbClr val="3366CC">
                <a:alpha val="30000"/>
              </a:srgbClr>
            </a:solidFill>
            <a:ln cmpd="sng">
              <a:solidFill>
                <a:srgbClr val="3366CC"/>
              </a:solidFill>
            </a:ln>
          </c:spPr>
          <c:val>
            <c:numRef>
              <c:f>'Sprint Backlog (weeks 7-8)'!$H$33:$V$33</c:f>
              <c:numCache/>
            </c:numRef>
          </c:val>
        </c:ser>
        <c:ser>
          <c:idx val="1"/>
          <c:order val="1"/>
          <c:tx>
            <c:strRef>
              <c:f>'Sprint Backlog (weeks 7-8)'!$G$34</c:f>
            </c:strRef>
          </c:tx>
          <c:spPr>
            <a:solidFill>
              <a:srgbClr val="DC3912">
                <a:alpha val="30000"/>
              </a:srgbClr>
            </a:solidFill>
            <a:ln cmpd="sng">
              <a:solidFill>
                <a:srgbClr val="DC3912"/>
              </a:solidFill>
            </a:ln>
          </c:spPr>
          <c:val>
            <c:numRef>
              <c:f>'Sprint Backlog (weeks 7-8)'!$H$34:$V$34</c:f>
              <c:numCache/>
            </c:numRef>
          </c:val>
        </c:ser>
        <c:axId val="70696181"/>
        <c:axId val="103972932"/>
      </c:areaChart>
      <c:catAx>
        <c:axId val="70696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Days in Calendar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972932"/>
      </c:catAx>
      <c:valAx>
        <c:axId val="103972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Hours left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69618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Sprint Burndown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'Sprint Backlog (weeks 9-10)'!$G$33</c:f>
            </c:strRef>
          </c:tx>
          <c:spPr>
            <a:solidFill>
              <a:srgbClr val="3366CC">
                <a:alpha val="30000"/>
              </a:srgbClr>
            </a:solidFill>
            <a:ln cmpd="sng">
              <a:solidFill>
                <a:srgbClr val="3366CC"/>
              </a:solidFill>
            </a:ln>
          </c:spPr>
          <c:val>
            <c:numRef>
              <c:f>'Sprint Backlog (weeks 9-10)'!$H$33:$V$33</c:f>
              <c:numCache/>
            </c:numRef>
          </c:val>
        </c:ser>
        <c:ser>
          <c:idx val="1"/>
          <c:order val="1"/>
          <c:tx>
            <c:strRef>
              <c:f>'Sprint Backlog (weeks 9-10)'!$G$34</c:f>
            </c:strRef>
          </c:tx>
          <c:spPr>
            <a:solidFill>
              <a:srgbClr val="DC3912">
                <a:alpha val="30000"/>
              </a:srgbClr>
            </a:solidFill>
            <a:ln cmpd="sng">
              <a:solidFill>
                <a:srgbClr val="DC3912"/>
              </a:solidFill>
            </a:ln>
          </c:spPr>
          <c:val>
            <c:numRef>
              <c:f>'Sprint Backlog (weeks 9-10)'!$H$34:$V$34</c:f>
              <c:numCache/>
            </c:numRef>
          </c:val>
        </c:ser>
        <c:axId val="1171855205"/>
        <c:axId val="1426996914"/>
      </c:areaChart>
      <c:catAx>
        <c:axId val="1171855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Days in Calendar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26996914"/>
      </c:catAx>
      <c:valAx>
        <c:axId val="1426996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Hours left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185520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36</xdr:row>
      <xdr:rowOff>428625</xdr:rowOff>
    </xdr:from>
    <xdr:ext cx="10963275" cy="42576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36</xdr:row>
      <xdr:rowOff>428625</xdr:rowOff>
    </xdr:from>
    <xdr:ext cx="10963275" cy="42576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36</xdr:row>
      <xdr:rowOff>428625</xdr:rowOff>
    </xdr:from>
    <xdr:ext cx="10963275" cy="42576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36</xdr:row>
      <xdr:rowOff>428625</xdr:rowOff>
    </xdr:from>
    <xdr:ext cx="10963275" cy="42576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36</xdr:row>
      <xdr:rowOff>428625</xdr:rowOff>
    </xdr:from>
    <xdr:ext cx="10963275" cy="42576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0.13"/>
    <col customWidth="1" min="2" max="2" width="13.5"/>
    <col customWidth="1" min="3" max="3" width="10.25"/>
    <col customWidth="1" min="4" max="4" width="23.0"/>
    <col customWidth="1" min="5" max="5" width="51.5"/>
    <col customWidth="1" hidden="1" min="6" max="6" width="55.0"/>
    <col customWidth="1" min="7" max="7" width="35.75"/>
    <col customWidth="1" min="8" max="21" width="15.13"/>
  </cols>
  <sheetData>
    <row r="1" ht="24.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22.5" customHeight="1">
      <c r="A2" s="4">
        <f t="shared" ref="A2:A19" si="1">Row()-1</f>
        <v>1</v>
      </c>
      <c r="B2" s="5">
        <v>5.0</v>
      </c>
      <c r="C2" s="6">
        <v>1.0</v>
      </c>
      <c r="D2" s="7" t="s">
        <v>6</v>
      </c>
      <c r="E2" s="8" t="s">
        <v>7</v>
      </c>
      <c r="F2" s="9"/>
      <c r="G2" s="10" t="s">
        <v>8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22.5" customHeight="1">
      <c r="A3" s="4">
        <f t="shared" si="1"/>
        <v>2</v>
      </c>
      <c r="B3" s="6">
        <v>5.0</v>
      </c>
      <c r="C3" s="6">
        <v>1.0</v>
      </c>
      <c r="D3" s="12" t="s">
        <v>6</v>
      </c>
      <c r="E3" s="8" t="s">
        <v>9</v>
      </c>
      <c r="F3" s="9"/>
      <c r="G3" s="12" t="s">
        <v>10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ht="22.5" customHeight="1">
      <c r="A4" s="4">
        <f t="shared" si="1"/>
        <v>3</v>
      </c>
      <c r="B4" s="5">
        <v>8.0</v>
      </c>
      <c r="C4" s="6">
        <v>1.0</v>
      </c>
      <c r="D4" s="12" t="s">
        <v>6</v>
      </c>
      <c r="E4" s="8" t="s">
        <v>11</v>
      </c>
      <c r="F4" s="9"/>
      <c r="G4" s="12" t="s">
        <v>12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ht="22.5" customHeight="1">
      <c r="A5" s="4">
        <f t="shared" si="1"/>
        <v>4</v>
      </c>
      <c r="B5" s="5">
        <v>5.0</v>
      </c>
      <c r="C5" s="5">
        <v>1.0</v>
      </c>
      <c r="D5" s="7" t="s">
        <v>6</v>
      </c>
      <c r="E5" s="8" t="s">
        <v>13</v>
      </c>
      <c r="F5" s="9"/>
      <c r="G5" s="10" t="s">
        <v>14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22.5" customHeight="1">
      <c r="A6" s="4">
        <f t="shared" si="1"/>
        <v>5</v>
      </c>
      <c r="B6" s="5">
        <v>8.0</v>
      </c>
      <c r="C6" s="6">
        <v>2.0</v>
      </c>
      <c r="D6" s="7" t="s">
        <v>6</v>
      </c>
      <c r="E6" s="8" t="s">
        <v>15</v>
      </c>
      <c r="F6" s="9"/>
      <c r="G6" s="10" t="s">
        <v>16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22.5" customHeight="1">
      <c r="A7" s="4">
        <f t="shared" si="1"/>
        <v>6</v>
      </c>
      <c r="B7" s="5">
        <v>5.0</v>
      </c>
      <c r="C7" s="5">
        <v>2.0</v>
      </c>
      <c r="D7" s="12" t="s">
        <v>6</v>
      </c>
      <c r="E7" s="8" t="s">
        <v>17</v>
      </c>
      <c r="F7" s="9"/>
      <c r="G7" s="12" t="s">
        <v>18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ht="22.5" customHeight="1">
      <c r="A8" s="4">
        <f t="shared" si="1"/>
        <v>7</v>
      </c>
      <c r="B8" s="5">
        <v>3.0</v>
      </c>
      <c r="C8" s="5">
        <v>2.0</v>
      </c>
      <c r="D8" s="12" t="s">
        <v>6</v>
      </c>
      <c r="E8" s="8" t="s">
        <v>19</v>
      </c>
      <c r="F8" s="9"/>
      <c r="G8" s="12" t="s">
        <v>20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ht="22.5" customHeight="1">
      <c r="A9" s="4">
        <f t="shared" si="1"/>
        <v>8</v>
      </c>
      <c r="B9" s="5">
        <v>5.0</v>
      </c>
      <c r="C9" s="5">
        <v>2.0</v>
      </c>
      <c r="D9" s="12" t="s">
        <v>6</v>
      </c>
      <c r="E9" s="8" t="s">
        <v>21</v>
      </c>
      <c r="F9" s="9"/>
      <c r="G9" s="10" t="s">
        <v>22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ht="22.5" customHeight="1">
      <c r="A10" s="4">
        <f t="shared" si="1"/>
        <v>9</v>
      </c>
      <c r="B10" s="5">
        <v>5.0</v>
      </c>
      <c r="C10" s="5">
        <v>3.0</v>
      </c>
      <c r="D10" s="12" t="s">
        <v>6</v>
      </c>
      <c r="E10" s="8" t="s">
        <v>23</v>
      </c>
      <c r="F10" s="9"/>
      <c r="G10" s="10" t="s">
        <v>24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ht="22.5" customHeight="1">
      <c r="A11" s="4">
        <f t="shared" si="1"/>
        <v>10</v>
      </c>
      <c r="B11" s="5">
        <v>5.0</v>
      </c>
      <c r="C11" s="5">
        <v>3.0</v>
      </c>
      <c r="D11" s="12" t="s">
        <v>6</v>
      </c>
      <c r="E11" s="14" t="s">
        <v>25</v>
      </c>
      <c r="F11" s="9"/>
      <c r="G11" s="12" t="s">
        <v>26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ht="22.5" customHeight="1">
      <c r="A12" s="4">
        <f t="shared" si="1"/>
        <v>11</v>
      </c>
      <c r="B12" s="5">
        <v>5.0</v>
      </c>
      <c r="C12" s="5">
        <v>3.0</v>
      </c>
      <c r="D12" s="12" t="s">
        <v>6</v>
      </c>
      <c r="E12" s="14" t="s">
        <v>27</v>
      </c>
      <c r="F12" s="9"/>
      <c r="G12" s="10" t="s">
        <v>28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ht="22.5" customHeight="1">
      <c r="A13" s="4">
        <f t="shared" si="1"/>
        <v>12</v>
      </c>
      <c r="B13" s="5">
        <v>8.0</v>
      </c>
      <c r="C13" s="5">
        <v>4.0</v>
      </c>
      <c r="D13" s="12" t="s">
        <v>29</v>
      </c>
      <c r="E13" s="8" t="s">
        <v>30</v>
      </c>
      <c r="F13" s="9"/>
      <c r="G13" s="10" t="s">
        <v>31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ht="22.5" customHeight="1">
      <c r="A14" s="4">
        <f t="shared" si="1"/>
        <v>13</v>
      </c>
      <c r="B14" s="5">
        <v>5.0</v>
      </c>
      <c r="C14" s="5">
        <v>4.0</v>
      </c>
      <c r="D14" s="12" t="s">
        <v>29</v>
      </c>
      <c r="E14" s="8" t="s">
        <v>32</v>
      </c>
      <c r="F14" s="9"/>
      <c r="G14" s="12" t="s">
        <v>33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ht="22.5" customHeight="1">
      <c r="A15" s="4">
        <f t="shared" si="1"/>
        <v>14</v>
      </c>
      <c r="B15" s="5">
        <v>3.0</v>
      </c>
      <c r="C15" s="5">
        <v>4.0</v>
      </c>
      <c r="D15" s="12" t="s">
        <v>34</v>
      </c>
      <c r="E15" s="8" t="s">
        <v>35</v>
      </c>
      <c r="F15" s="9"/>
      <c r="G15" s="12" t="s">
        <v>36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ht="22.5" customHeight="1">
      <c r="A16" s="4">
        <f t="shared" si="1"/>
        <v>15</v>
      </c>
      <c r="B16" s="5">
        <v>8.0</v>
      </c>
      <c r="C16" s="5">
        <v>5.0</v>
      </c>
      <c r="D16" s="12" t="s">
        <v>37</v>
      </c>
      <c r="E16" s="8" t="s">
        <v>38</v>
      </c>
      <c r="F16" s="9"/>
      <c r="G16" s="12" t="s">
        <v>39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ht="22.5" customHeight="1">
      <c r="A17" s="4">
        <f t="shared" si="1"/>
        <v>16</v>
      </c>
      <c r="B17" s="5">
        <v>5.0</v>
      </c>
      <c r="C17" s="5">
        <v>5.0</v>
      </c>
      <c r="D17" s="12" t="s">
        <v>40</v>
      </c>
      <c r="E17" s="8" t="s">
        <v>41</v>
      </c>
      <c r="F17" s="9"/>
      <c r="G17" s="12" t="s">
        <v>42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ht="22.5" customHeight="1">
      <c r="A18" s="4">
        <f t="shared" si="1"/>
        <v>17</v>
      </c>
      <c r="B18" s="15"/>
      <c r="C18" s="15"/>
      <c r="D18" s="16"/>
      <c r="E18" s="9"/>
      <c r="F18" s="9"/>
      <c r="G18" s="16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ht="22.5" customHeight="1">
      <c r="A19" s="4">
        <f t="shared" si="1"/>
        <v>18</v>
      </c>
      <c r="B19" s="15"/>
      <c r="C19" s="15"/>
      <c r="D19" s="16"/>
      <c r="E19" s="9"/>
      <c r="F19" s="9"/>
      <c r="G19" s="16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ht="31.5" customHeight="1">
      <c r="A20" s="17" t="s">
        <v>43</v>
      </c>
      <c r="B20" s="18"/>
      <c r="C20" s="18"/>
      <c r="D20" s="18"/>
      <c r="E20" s="18"/>
      <c r="F20" s="18"/>
      <c r="G20" s="1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22.5" customHeight="1">
      <c r="A21" s="20"/>
      <c r="B21" s="21">
        <v>5.0</v>
      </c>
      <c r="C21" s="21">
        <v>1.0</v>
      </c>
      <c r="D21" s="22" t="s">
        <v>34</v>
      </c>
      <c r="E21" s="23" t="s">
        <v>44</v>
      </c>
      <c r="F21" s="24"/>
      <c r="G21" s="25" t="s">
        <v>45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ht="22.5" customHeight="1">
      <c r="A22" s="20"/>
      <c r="B22" s="21">
        <v>5.0</v>
      </c>
      <c r="C22" s="21">
        <v>1.0</v>
      </c>
      <c r="D22" s="22" t="s">
        <v>40</v>
      </c>
      <c r="E22" s="23" t="s">
        <v>46</v>
      </c>
      <c r="F22" s="27" t="s">
        <v>47</v>
      </c>
      <c r="G22" s="25" t="s">
        <v>48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>
      <c r="A23" s="28"/>
      <c r="B23" s="29">
        <v>3.0</v>
      </c>
      <c r="C23" s="29">
        <v>1.0</v>
      </c>
      <c r="D23" s="30" t="s">
        <v>34</v>
      </c>
      <c r="E23" s="31" t="s">
        <v>49</v>
      </c>
      <c r="F23" s="32"/>
      <c r="G23" s="33" t="s">
        <v>50</v>
      </c>
    </row>
    <row r="24">
      <c r="A24" s="28"/>
      <c r="B24" s="29">
        <v>3.0</v>
      </c>
      <c r="C24" s="29">
        <v>1.0</v>
      </c>
      <c r="D24" s="30" t="s">
        <v>34</v>
      </c>
      <c r="E24" s="31" t="s">
        <v>51</v>
      </c>
      <c r="F24" s="32"/>
      <c r="G24" s="33" t="s">
        <v>52</v>
      </c>
    </row>
    <row r="25">
      <c r="A25" s="28"/>
      <c r="B25" s="29">
        <v>5.0</v>
      </c>
      <c r="C25" s="29">
        <v>1.0</v>
      </c>
      <c r="D25" s="30" t="s">
        <v>34</v>
      </c>
      <c r="E25" s="31" t="s">
        <v>53</v>
      </c>
      <c r="F25" s="32"/>
      <c r="G25" s="33" t="s">
        <v>54</v>
      </c>
    </row>
    <row r="26" ht="17.25" customHeight="1">
      <c r="A26" s="28"/>
      <c r="B26" s="29">
        <v>3.0</v>
      </c>
      <c r="C26" s="29">
        <v>1.0</v>
      </c>
      <c r="D26" s="30" t="s">
        <v>40</v>
      </c>
      <c r="E26" s="31" t="s">
        <v>55</v>
      </c>
      <c r="F26" s="32"/>
      <c r="G26" s="30" t="s">
        <v>56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</row>
    <row r="27" ht="17.25" customHeight="1">
      <c r="A27" s="28"/>
      <c r="B27" s="29">
        <v>2.0</v>
      </c>
      <c r="C27" s="29">
        <v>1.0</v>
      </c>
      <c r="D27" s="30" t="s">
        <v>34</v>
      </c>
      <c r="E27" s="35" t="s">
        <v>57</v>
      </c>
      <c r="F27" s="32"/>
      <c r="G27" s="30" t="s">
        <v>58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</row>
    <row r="28" ht="17.25" customHeight="1">
      <c r="A28" s="28"/>
      <c r="B28" s="29">
        <v>2.0</v>
      </c>
      <c r="C28" s="29">
        <v>1.0</v>
      </c>
      <c r="D28" s="30" t="s">
        <v>40</v>
      </c>
      <c r="E28" s="35" t="s">
        <v>59</v>
      </c>
      <c r="F28" s="32"/>
      <c r="G28" s="30" t="s">
        <v>60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</row>
    <row r="29">
      <c r="A29" s="28"/>
      <c r="B29" s="28"/>
      <c r="C29" s="28"/>
      <c r="D29" s="36"/>
      <c r="E29" s="37"/>
      <c r="F29" s="32"/>
      <c r="G29" s="38"/>
    </row>
    <row r="30">
      <c r="A30" s="28"/>
      <c r="B30" s="28"/>
      <c r="C30" s="28"/>
      <c r="D30" s="36"/>
      <c r="E30" s="37"/>
      <c r="F30" s="32"/>
      <c r="G30" s="38"/>
    </row>
    <row r="31">
      <c r="A31" s="28"/>
      <c r="B31" s="28"/>
      <c r="C31" s="28"/>
      <c r="D31" s="36"/>
      <c r="E31" s="37"/>
      <c r="F31" s="32"/>
      <c r="G31" s="38"/>
    </row>
    <row r="32">
      <c r="A32" s="28"/>
      <c r="B32" s="28"/>
      <c r="C32" s="28"/>
      <c r="D32" s="36"/>
      <c r="E32" s="37"/>
      <c r="F32" s="32"/>
      <c r="G32" s="38"/>
    </row>
    <row r="33">
      <c r="A33" s="28"/>
      <c r="B33" s="28"/>
      <c r="C33" s="28"/>
      <c r="D33" s="36"/>
      <c r="E33" s="37"/>
      <c r="F33" s="32"/>
      <c r="G33" s="38"/>
    </row>
    <row r="34">
      <c r="A34" s="28"/>
      <c r="B34" s="28"/>
      <c r="C34" s="28"/>
      <c r="D34" s="36"/>
      <c r="E34" s="37"/>
      <c r="F34" s="32"/>
      <c r="G34" s="38"/>
    </row>
    <row r="35">
      <c r="A35" s="28"/>
      <c r="B35" s="28"/>
      <c r="C35" s="28"/>
      <c r="D35" s="36"/>
      <c r="E35" s="37"/>
      <c r="F35" s="32"/>
      <c r="G35" s="38"/>
    </row>
    <row r="36">
      <c r="A36" s="28"/>
      <c r="B36" s="28"/>
      <c r="C36" s="28"/>
      <c r="D36" s="36"/>
      <c r="E36" s="37"/>
      <c r="F36" s="32"/>
      <c r="G36" s="38"/>
    </row>
    <row r="37">
      <c r="A37" s="28"/>
      <c r="B37" s="28"/>
      <c r="C37" s="28"/>
      <c r="D37" s="36"/>
      <c r="E37" s="37"/>
      <c r="F37" s="32"/>
      <c r="G37" s="38"/>
    </row>
    <row r="38">
      <c r="A38" s="28"/>
      <c r="B38" s="28"/>
      <c r="C38" s="28"/>
      <c r="D38" s="36"/>
      <c r="E38" s="37"/>
      <c r="F38" s="32"/>
      <c r="G38" s="38"/>
    </row>
    <row r="39">
      <c r="A39" s="28"/>
      <c r="B39" s="28"/>
      <c r="C39" s="28"/>
      <c r="D39" s="36"/>
      <c r="E39" s="37"/>
      <c r="F39" s="32"/>
      <c r="G39" s="38"/>
    </row>
    <row r="40">
      <c r="A40" s="28"/>
      <c r="B40" s="28"/>
      <c r="C40" s="28"/>
      <c r="D40" s="36"/>
      <c r="E40" s="37"/>
      <c r="F40" s="32"/>
      <c r="G40" s="38"/>
    </row>
    <row r="41">
      <c r="A41" s="28"/>
      <c r="B41" s="28"/>
      <c r="C41" s="28"/>
      <c r="D41" s="36"/>
      <c r="E41" s="37"/>
      <c r="F41" s="32"/>
      <c r="G41" s="38"/>
    </row>
    <row r="42">
      <c r="A42" s="28"/>
      <c r="B42" s="28"/>
      <c r="C42" s="28"/>
      <c r="D42" s="36"/>
      <c r="E42" s="37"/>
      <c r="F42" s="32"/>
      <c r="G42" s="38"/>
    </row>
    <row r="43">
      <c r="A43" s="28"/>
      <c r="B43" s="28"/>
      <c r="C43" s="28"/>
      <c r="D43" s="36"/>
      <c r="E43" s="37"/>
      <c r="F43" s="32"/>
      <c r="G43" s="38"/>
    </row>
    <row r="44">
      <c r="A44" s="28"/>
      <c r="B44" s="28"/>
      <c r="C44" s="28"/>
      <c r="D44" s="36"/>
      <c r="E44" s="37"/>
      <c r="F44" s="32"/>
      <c r="G44" s="38"/>
    </row>
    <row r="45">
      <c r="A45" s="28"/>
      <c r="B45" s="28"/>
      <c r="C45" s="28"/>
      <c r="D45" s="36"/>
      <c r="E45" s="37"/>
      <c r="F45" s="32"/>
      <c r="G45" s="38"/>
    </row>
    <row r="46">
      <c r="A46" s="39"/>
      <c r="B46" s="39"/>
      <c r="C46" s="39"/>
      <c r="D46" s="34"/>
      <c r="E46" s="40"/>
      <c r="F46" s="41"/>
    </row>
    <row r="47">
      <c r="A47" s="39"/>
      <c r="B47" s="39"/>
      <c r="C47" s="39"/>
      <c r="D47" s="34"/>
      <c r="E47" s="40"/>
      <c r="F47" s="41"/>
    </row>
    <row r="48">
      <c r="A48" s="39"/>
      <c r="B48" s="39"/>
      <c r="C48" s="39"/>
      <c r="D48" s="34"/>
      <c r="E48" s="40"/>
      <c r="F48" s="41"/>
    </row>
    <row r="49">
      <c r="A49" s="39"/>
      <c r="B49" s="39"/>
      <c r="C49" s="39"/>
      <c r="D49" s="34"/>
      <c r="E49" s="40"/>
      <c r="F49" s="41"/>
    </row>
    <row r="50">
      <c r="A50" s="39"/>
      <c r="B50" s="39"/>
      <c r="C50" s="39"/>
      <c r="D50" s="34"/>
      <c r="E50" s="40"/>
      <c r="F50" s="41"/>
    </row>
    <row r="51">
      <c r="A51" s="39"/>
      <c r="B51" s="39"/>
      <c r="C51" s="39"/>
      <c r="D51" s="34"/>
      <c r="E51" s="40"/>
      <c r="F51" s="41"/>
    </row>
    <row r="52">
      <c r="A52" s="39"/>
      <c r="B52" s="39"/>
      <c r="C52" s="39"/>
      <c r="D52" s="34"/>
      <c r="E52" s="40"/>
      <c r="F52" s="41"/>
    </row>
    <row r="53">
      <c r="A53" s="39"/>
      <c r="B53" s="39"/>
      <c r="C53" s="39"/>
      <c r="D53" s="34"/>
      <c r="E53" s="40"/>
      <c r="F53" s="41"/>
    </row>
    <row r="54">
      <c r="A54" s="39"/>
      <c r="B54" s="39"/>
      <c r="C54" s="39"/>
      <c r="D54" s="34"/>
      <c r="E54" s="40"/>
      <c r="F54" s="41"/>
    </row>
    <row r="55">
      <c r="A55" s="39"/>
      <c r="B55" s="39"/>
      <c r="C55" s="39"/>
      <c r="D55" s="34"/>
      <c r="E55" s="40"/>
      <c r="F55" s="41"/>
    </row>
    <row r="56">
      <c r="A56" s="39"/>
      <c r="B56" s="39"/>
      <c r="C56" s="39"/>
      <c r="D56" s="34"/>
      <c r="E56" s="40"/>
      <c r="F56" s="41"/>
    </row>
    <row r="57">
      <c r="A57" s="39"/>
      <c r="B57" s="39"/>
      <c r="C57" s="39"/>
      <c r="D57" s="34"/>
      <c r="E57" s="40"/>
      <c r="F57" s="41"/>
    </row>
    <row r="58">
      <c r="A58" s="39"/>
      <c r="B58" s="39"/>
      <c r="C58" s="39"/>
      <c r="D58" s="34"/>
      <c r="E58" s="40"/>
      <c r="F58" s="41"/>
    </row>
    <row r="59">
      <c r="A59" s="39"/>
      <c r="B59" s="39"/>
      <c r="C59" s="39"/>
      <c r="D59" s="34"/>
      <c r="E59" s="40"/>
      <c r="F59" s="41"/>
    </row>
    <row r="60">
      <c r="A60" s="39"/>
      <c r="B60" s="39"/>
      <c r="C60" s="39"/>
      <c r="D60" s="34"/>
      <c r="E60" s="40"/>
      <c r="F60" s="41"/>
    </row>
    <row r="61">
      <c r="A61" s="39"/>
      <c r="B61" s="39"/>
      <c r="C61" s="39"/>
      <c r="D61" s="34"/>
      <c r="E61" s="40"/>
      <c r="F61" s="41"/>
    </row>
    <row r="62">
      <c r="A62" s="39"/>
      <c r="B62" s="39"/>
      <c r="C62" s="39"/>
      <c r="D62" s="34"/>
      <c r="E62" s="40"/>
      <c r="F62" s="41"/>
    </row>
    <row r="63">
      <c r="A63" s="39"/>
      <c r="B63" s="39"/>
      <c r="C63" s="39"/>
      <c r="D63" s="34"/>
      <c r="E63" s="40"/>
      <c r="F63" s="41"/>
    </row>
    <row r="64">
      <c r="A64" s="39"/>
      <c r="B64" s="39"/>
      <c r="C64" s="39"/>
      <c r="D64" s="34"/>
      <c r="E64" s="40"/>
      <c r="F64" s="41"/>
    </row>
    <row r="65">
      <c r="A65" s="39"/>
      <c r="B65" s="39"/>
      <c r="C65" s="39"/>
      <c r="D65" s="34"/>
      <c r="E65" s="40"/>
      <c r="F65" s="41"/>
    </row>
    <row r="66">
      <c r="A66" s="39"/>
      <c r="B66" s="39"/>
      <c r="C66" s="39"/>
      <c r="D66" s="34"/>
      <c r="E66" s="40"/>
      <c r="F66" s="41"/>
    </row>
    <row r="67">
      <c r="A67" s="39"/>
      <c r="B67" s="39"/>
      <c r="C67" s="39"/>
      <c r="D67" s="34"/>
      <c r="E67" s="40"/>
      <c r="F67" s="41"/>
    </row>
    <row r="68">
      <c r="A68" s="39"/>
      <c r="B68" s="39"/>
      <c r="C68" s="39"/>
      <c r="D68" s="34"/>
      <c r="E68" s="40"/>
      <c r="F68" s="41"/>
    </row>
    <row r="69">
      <c r="A69" s="39"/>
      <c r="B69" s="39"/>
      <c r="C69" s="39"/>
      <c r="D69" s="34"/>
      <c r="E69" s="40"/>
      <c r="F69" s="41"/>
    </row>
    <row r="70">
      <c r="A70" s="39"/>
      <c r="B70" s="39"/>
      <c r="C70" s="39"/>
      <c r="D70" s="34"/>
      <c r="E70" s="40"/>
      <c r="F70" s="41"/>
    </row>
    <row r="71">
      <c r="A71" s="39"/>
      <c r="B71" s="39"/>
      <c r="C71" s="39"/>
      <c r="D71" s="34"/>
      <c r="E71" s="40"/>
      <c r="F71" s="41"/>
    </row>
    <row r="72">
      <c r="A72" s="39"/>
      <c r="B72" s="39"/>
      <c r="C72" s="39"/>
      <c r="D72" s="34"/>
      <c r="E72" s="40"/>
      <c r="F72" s="41"/>
    </row>
    <row r="73">
      <c r="A73" s="39"/>
      <c r="B73" s="39"/>
      <c r="C73" s="39"/>
      <c r="D73" s="34"/>
      <c r="E73" s="40"/>
      <c r="F73" s="41"/>
    </row>
    <row r="74">
      <c r="A74" s="39"/>
      <c r="B74" s="39"/>
      <c r="C74" s="39"/>
      <c r="D74" s="34"/>
      <c r="E74" s="40"/>
      <c r="F74" s="41"/>
    </row>
    <row r="75">
      <c r="A75" s="39"/>
      <c r="B75" s="39"/>
      <c r="C75" s="39"/>
      <c r="D75" s="34"/>
      <c r="E75" s="40"/>
      <c r="F75" s="41"/>
    </row>
    <row r="76">
      <c r="A76" s="39"/>
      <c r="B76" s="39"/>
      <c r="C76" s="39"/>
      <c r="D76" s="34"/>
      <c r="E76" s="40"/>
      <c r="F76" s="41"/>
    </row>
    <row r="77">
      <c r="A77" s="39"/>
      <c r="B77" s="39"/>
      <c r="C77" s="39"/>
      <c r="D77" s="34"/>
      <c r="E77" s="40"/>
      <c r="F77" s="41"/>
    </row>
    <row r="78">
      <c r="A78" s="39"/>
      <c r="B78" s="39"/>
      <c r="C78" s="39"/>
      <c r="D78" s="34"/>
      <c r="E78" s="40"/>
      <c r="F78" s="41"/>
    </row>
    <row r="79">
      <c r="A79" s="39"/>
      <c r="B79" s="39"/>
      <c r="C79" s="39"/>
      <c r="D79" s="34"/>
      <c r="E79" s="40"/>
      <c r="F79" s="41"/>
    </row>
    <row r="80">
      <c r="A80" s="39"/>
      <c r="B80" s="39"/>
      <c r="C80" s="39"/>
      <c r="D80" s="34"/>
      <c r="E80" s="40"/>
      <c r="F80" s="41"/>
    </row>
    <row r="81">
      <c r="A81" s="39"/>
      <c r="B81" s="39"/>
      <c r="C81" s="39"/>
      <c r="D81" s="34"/>
      <c r="E81" s="40"/>
      <c r="F81" s="41"/>
    </row>
  </sheetData>
  <mergeCells count="1">
    <mergeCell ref="A20:G20"/>
  </mergeCells>
  <dataValidations>
    <dataValidation type="list" allowBlank="1" showErrorMessage="1" sqref="D2:D19 D21:D22">
      <formula1>Stakeholders!$A$1:$A$100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26.88"/>
    <col customWidth="1" min="2" max="4" width="6.38"/>
    <col customWidth="1" min="5" max="5" width="25.13"/>
    <col customWidth="1" min="6" max="6" width="6.38"/>
    <col customWidth="1" min="7" max="7" width="13.13"/>
    <col customWidth="1" min="8" max="8" width="10.38"/>
    <col customWidth="1" min="9" max="22" width="3.88"/>
  </cols>
  <sheetData>
    <row r="1" ht="24.0" customHeight="1">
      <c r="A1" s="42" t="s">
        <v>61</v>
      </c>
      <c r="F1" s="34"/>
      <c r="G1" s="43" t="s">
        <v>62</v>
      </c>
      <c r="H1" s="44">
        <v>46069.0</v>
      </c>
      <c r="I1" s="45" t="s">
        <v>63</v>
      </c>
      <c r="V1" s="46"/>
    </row>
    <row r="2" ht="17.25" customHeight="1">
      <c r="A2" s="47" t="s">
        <v>64</v>
      </c>
      <c r="B2" s="48" t="s">
        <v>65</v>
      </c>
      <c r="C2" s="48" t="s">
        <v>66</v>
      </c>
      <c r="D2" s="48" t="s">
        <v>67</v>
      </c>
      <c r="E2" s="49" t="s">
        <v>68</v>
      </c>
      <c r="F2" s="50" t="s">
        <v>65</v>
      </c>
      <c r="G2" s="51" t="s">
        <v>69</v>
      </c>
      <c r="H2" s="52" t="s">
        <v>70</v>
      </c>
      <c r="I2" s="53">
        <f>H1</f>
        <v>46069</v>
      </c>
      <c r="J2" s="53">
        <f t="shared" ref="J2:V2" si="1">I2+1</f>
        <v>46070</v>
      </c>
      <c r="K2" s="53">
        <f t="shared" si="1"/>
        <v>46071</v>
      </c>
      <c r="L2" s="53">
        <f t="shared" si="1"/>
        <v>46072</v>
      </c>
      <c r="M2" s="53">
        <f t="shared" si="1"/>
        <v>46073</v>
      </c>
      <c r="N2" s="53">
        <f t="shared" si="1"/>
        <v>46074</v>
      </c>
      <c r="O2" s="53">
        <f t="shared" si="1"/>
        <v>46075</v>
      </c>
      <c r="P2" s="53">
        <f t="shared" si="1"/>
        <v>46076</v>
      </c>
      <c r="Q2" s="53">
        <f t="shared" si="1"/>
        <v>46077</v>
      </c>
      <c r="R2" s="53">
        <f t="shared" si="1"/>
        <v>46078</v>
      </c>
      <c r="S2" s="53">
        <f t="shared" si="1"/>
        <v>46079</v>
      </c>
      <c r="T2" s="53">
        <f t="shared" si="1"/>
        <v>46080</v>
      </c>
      <c r="U2" s="53">
        <f t="shared" si="1"/>
        <v>46081</v>
      </c>
      <c r="V2" s="53">
        <f t="shared" si="1"/>
        <v>46082</v>
      </c>
    </row>
    <row r="3" ht="22.5" hidden="1" customHeight="1">
      <c r="A3" s="54"/>
      <c r="B3" s="55">
        <v>0.0</v>
      </c>
      <c r="C3" s="56">
        <v>0.0</v>
      </c>
      <c r="D3" s="56">
        <v>0.0</v>
      </c>
      <c r="E3" s="57"/>
      <c r="F3" s="58"/>
      <c r="G3" s="59"/>
      <c r="H3" s="60"/>
      <c r="I3" s="61"/>
      <c r="J3" s="61"/>
      <c r="K3" s="62"/>
      <c r="L3" s="62"/>
      <c r="M3" s="62"/>
      <c r="N3" s="63"/>
      <c r="O3" s="63"/>
      <c r="P3" s="62"/>
      <c r="Q3" s="62"/>
      <c r="R3" s="62"/>
      <c r="S3" s="62"/>
      <c r="T3" s="62"/>
      <c r="U3" s="64"/>
      <c r="V3" s="65"/>
    </row>
    <row r="4" ht="22.5" hidden="1" customHeight="1">
      <c r="A4" s="46"/>
      <c r="B4" s="66"/>
      <c r="E4" s="57"/>
      <c r="F4" s="58"/>
      <c r="G4" s="59"/>
      <c r="H4" s="60"/>
      <c r="I4" s="61"/>
      <c r="J4" s="61"/>
      <c r="K4" s="62"/>
      <c r="L4" s="62"/>
      <c r="M4" s="62"/>
      <c r="N4" s="63"/>
      <c r="O4" s="63"/>
      <c r="P4" s="62"/>
      <c r="Q4" s="62"/>
      <c r="R4" s="62"/>
      <c r="S4" s="62"/>
      <c r="T4" s="62"/>
      <c r="U4" s="64"/>
      <c r="V4" s="65"/>
    </row>
    <row r="5" ht="22.5" hidden="1" customHeight="1">
      <c r="A5" s="46"/>
      <c r="B5" s="66"/>
      <c r="E5" s="57"/>
      <c r="F5" s="58"/>
      <c r="G5" s="59"/>
      <c r="H5" s="60"/>
      <c r="I5" s="61"/>
      <c r="J5" s="61"/>
      <c r="K5" s="62"/>
      <c r="L5" s="62"/>
      <c r="M5" s="62"/>
      <c r="N5" s="63"/>
      <c r="O5" s="63"/>
      <c r="P5" s="62"/>
      <c r="Q5" s="62"/>
      <c r="R5" s="62"/>
      <c r="S5" s="62"/>
      <c r="T5" s="62"/>
      <c r="U5" s="64"/>
      <c r="V5" s="65"/>
    </row>
    <row r="6" ht="22.5" hidden="1" customHeight="1">
      <c r="A6" s="46"/>
      <c r="B6" s="66"/>
      <c r="E6" s="57"/>
      <c r="F6" s="58"/>
      <c r="G6" s="59"/>
      <c r="H6" s="60"/>
      <c r="I6" s="61"/>
      <c r="J6" s="61"/>
      <c r="K6" s="62"/>
      <c r="L6" s="62"/>
      <c r="M6" s="62"/>
      <c r="N6" s="63"/>
      <c r="O6" s="63"/>
      <c r="P6" s="62"/>
      <c r="Q6" s="62"/>
      <c r="R6" s="62"/>
      <c r="S6" s="62"/>
      <c r="T6" s="62"/>
      <c r="U6" s="64"/>
      <c r="V6" s="65"/>
    </row>
    <row r="7" ht="22.5" hidden="1" customHeight="1">
      <c r="A7" s="46"/>
      <c r="B7" s="66"/>
      <c r="E7" s="57"/>
      <c r="F7" s="58"/>
      <c r="G7" s="59"/>
      <c r="H7" s="60"/>
      <c r="I7" s="61"/>
      <c r="J7" s="61"/>
      <c r="K7" s="62"/>
      <c r="L7" s="62"/>
      <c r="M7" s="62"/>
      <c r="N7" s="63"/>
      <c r="O7" s="63"/>
      <c r="P7" s="62"/>
      <c r="Q7" s="62"/>
      <c r="R7" s="62"/>
      <c r="S7" s="62"/>
      <c r="T7" s="62"/>
      <c r="U7" s="64"/>
      <c r="V7" s="65"/>
    </row>
    <row r="8" ht="22.5" hidden="1" customHeight="1">
      <c r="A8" s="46"/>
      <c r="B8" s="66"/>
      <c r="E8" s="57"/>
      <c r="F8" s="58"/>
      <c r="G8" s="59"/>
      <c r="H8" s="60"/>
      <c r="I8" s="61"/>
      <c r="J8" s="61"/>
      <c r="K8" s="62"/>
      <c r="L8" s="62"/>
      <c r="M8" s="62"/>
      <c r="N8" s="63"/>
      <c r="O8" s="63"/>
      <c r="P8" s="62"/>
      <c r="Q8" s="62"/>
      <c r="R8" s="62"/>
      <c r="S8" s="62"/>
      <c r="T8" s="62"/>
      <c r="U8" s="64"/>
      <c r="V8" s="65"/>
    </row>
    <row r="9" ht="22.5" hidden="1" customHeight="1">
      <c r="A9" s="46"/>
      <c r="B9" s="66"/>
      <c r="E9" s="57"/>
      <c r="F9" s="58"/>
      <c r="G9" s="59"/>
      <c r="H9" s="60"/>
      <c r="I9" s="61"/>
      <c r="J9" s="61"/>
      <c r="K9" s="62"/>
      <c r="L9" s="62"/>
      <c r="M9" s="62"/>
      <c r="N9" s="63"/>
      <c r="O9" s="63"/>
      <c r="P9" s="62"/>
      <c r="Q9" s="62"/>
      <c r="R9" s="62"/>
      <c r="S9" s="62"/>
      <c r="T9" s="62"/>
      <c r="U9" s="64"/>
      <c r="V9" s="65"/>
    </row>
    <row r="10" ht="22.5" hidden="1" customHeight="1">
      <c r="A10" s="46"/>
      <c r="B10" s="66"/>
      <c r="E10" s="57"/>
      <c r="F10" s="58"/>
      <c r="G10" s="59"/>
      <c r="H10" s="60"/>
      <c r="I10" s="61"/>
      <c r="J10" s="61"/>
      <c r="K10" s="62"/>
      <c r="L10" s="62"/>
      <c r="M10" s="62"/>
      <c r="N10" s="63"/>
      <c r="O10" s="63"/>
      <c r="P10" s="62"/>
      <c r="Q10" s="62"/>
      <c r="R10" s="62"/>
      <c r="S10" s="62"/>
      <c r="T10" s="62"/>
      <c r="U10" s="64"/>
      <c r="V10" s="65"/>
    </row>
    <row r="11" ht="22.5" hidden="1" customHeight="1">
      <c r="A11" s="46"/>
      <c r="B11" s="66"/>
      <c r="E11" s="57"/>
      <c r="F11" s="58"/>
      <c r="G11" s="59"/>
      <c r="H11" s="60"/>
      <c r="I11" s="61"/>
      <c r="J11" s="61"/>
      <c r="K11" s="62"/>
      <c r="L11" s="62"/>
      <c r="M11" s="62"/>
      <c r="N11" s="63"/>
      <c r="O11" s="63"/>
      <c r="P11" s="62"/>
      <c r="Q11" s="62"/>
      <c r="R11" s="62"/>
      <c r="S11" s="62"/>
      <c r="T11" s="62"/>
      <c r="U11" s="64"/>
      <c r="V11" s="65"/>
    </row>
    <row r="12" ht="22.5" hidden="1" customHeight="1">
      <c r="A12" s="46"/>
      <c r="B12" s="66"/>
      <c r="E12" s="57"/>
      <c r="F12" s="58"/>
      <c r="G12" s="59"/>
      <c r="H12" s="60"/>
      <c r="I12" s="61"/>
      <c r="J12" s="61"/>
      <c r="K12" s="62"/>
      <c r="L12" s="62"/>
      <c r="M12" s="62"/>
      <c r="N12" s="63"/>
      <c r="O12" s="63"/>
      <c r="P12" s="62"/>
      <c r="Q12" s="62"/>
      <c r="R12" s="62"/>
      <c r="S12" s="62"/>
      <c r="T12" s="62"/>
      <c r="U12" s="64"/>
      <c r="V12" s="65"/>
    </row>
    <row r="13" ht="22.5" hidden="1" customHeight="1">
      <c r="A13" s="46"/>
      <c r="B13" s="66"/>
      <c r="E13" s="57"/>
      <c r="F13" s="58"/>
      <c r="G13" s="59"/>
      <c r="H13" s="60"/>
      <c r="I13" s="61"/>
      <c r="J13" s="61"/>
      <c r="K13" s="62"/>
      <c r="L13" s="62"/>
      <c r="M13" s="62"/>
      <c r="N13" s="63"/>
      <c r="O13" s="63"/>
      <c r="P13" s="62"/>
      <c r="Q13" s="62"/>
      <c r="R13" s="62"/>
      <c r="S13" s="62"/>
      <c r="T13" s="62"/>
      <c r="U13" s="64"/>
      <c r="V13" s="65"/>
    </row>
    <row r="14" ht="22.5" hidden="1" customHeight="1">
      <c r="A14" s="46"/>
      <c r="B14" s="66"/>
      <c r="E14" s="57"/>
      <c r="F14" s="58"/>
      <c r="G14" s="59"/>
      <c r="H14" s="60"/>
      <c r="I14" s="61"/>
      <c r="J14" s="61"/>
      <c r="K14" s="62"/>
      <c r="L14" s="62"/>
      <c r="M14" s="62"/>
      <c r="N14" s="63"/>
      <c r="O14" s="63"/>
      <c r="P14" s="62"/>
      <c r="Q14" s="62"/>
      <c r="R14" s="62"/>
      <c r="S14" s="62"/>
      <c r="T14" s="62"/>
      <c r="U14" s="64"/>
      <c r="V14" s="65"/>
    </row>
    <row r="15" ht="22.5" hidden="1" customHeight="1">
      <c r="A15" s="46"/>
      <c r="B15" s="66"/>
      <c r="E15" s="57"/>
      <c r="F15" s="58"/>
      <c r="G15" s="59"/>
      <c r="H15" s="60"/>
      <c r="I15" s="61"/>
      <c r="J15" s="61"/>
      <c r="K15" s="62"/>
      <c r="L15" s="62"/>
      <c r="M15" s="62"/>
      <c r="N15" s="63"/>
      <c r="O15" s="63"/>
      <c r="P15" s="62"/>
      <c r="Q15" s="62"/>
      <c r="R15" s="62"/>
      <c r="S15" s="62"/>
      <c r="T15" s="62"/>
      <c r="U15" s="64"/>
      <c r="V15" s="65"/>
    </row>
    <row r="16" ht="22.5" hidden="1" customHeight="1">
      <c r="A16" s="46"/>
      <c r="B16" s="66"/>
      <c r="E16" s="57"/>
      <c r="F16" s="58"/>
      <c r="G16" s="59"/>
      <c r="H16" s="60"/>
      <c r="I16" s="61"/>
      <c r="J16" s="61"/>
      <c r="K16" s="62"/>
      <c r="L16" s="62"/>
      <c r="M16" s="62"/>
      <c r="N16" s="63"/>
      <c r="O16" s="63"/>
      <c r="P16" s="62"/>
      <c r="Q16" s="62"/>
      <c r="R16" s="62"/>
      <c r="S16" s="62"/>
      <c r="T16" s="62"/>
      <c r="U16" s="64"/>
      <c r="V16" s="65"/>
    </row>
    <row r="17" ht="22.5" hidden="1" customHeight="1">
      <c r="A17" s="46"/>
      <c r="B17" s="66"/>
      <c r="E17" s="57"/>
      <c r="F17" s="58"/>
      <c r="G17" s="59"/>
      <c r="H17" s="60"/>
      <c r="I17" s="61"/>
      <c r="J17" s="61"/>
      <c r="K17" s="62"/>
      <c r="L17" s="62"/>
      <c r="M17" s="62"/>
      <c r="N17" s="63"/>
      <c r="O17" s="63"/>
      <c r="P17" s="62"/>
      <c r="Q17" s="62"/>
      <c r="R17" s="62"/>
      <c r="S17" s="62"/>
      <c r="T17" s="62"/>
      <c r="U17" s="64"/>
      <c r="V17" s="65"/>
    </row>
    <row r="18" ht="22.5" customHeight="1">
      <c r="A18" s="67" t="s">
        <v>71</v>
      </c>
      <c r="B18" s="68">
        <f>SUM(F18:F23)</f>
        <v>13</v>
      </c>
      <c r="C18" s="68">
        <f>IF(B18&lt;SUM(I18:I23, J18:J23, K18:K23,L18:L23,M18:M23,N18:N23,O18:O23,P18:P23,Q18:Q23,R18:R23,S18:S23,T18:T23,U18:U23,V18:V23),SUM(I18:I23, J18:J23, K18:K23,L18:L23,M18:M23,N18:N23,O18:O23,P18:P23,Q18:Q23,R18:R23,S18:S23,T18:T23,U18:U23,V18:V23),B18)</f>
        <v>14</v>
      </c>
      <c r="D18" s="69">
        <f>IF(C18&gt;B18,$C18-(SUM(I18:I23, J18:J23, K18:K23,L18:L23,M18:M23,N18:N23,O18:O23,P18:P23,Q18:Q23,R18:R23,S18:S23,T18:T23,U18:U23,V18:V23)),$B18-(SUM(I18:I23, J18:J23, K18:K23,L18:L23,M18:M23,N18:N23,O18:O23,P18:P23,Q18:Q23,R18:R23,S18:S23,T18:T23,U18:U23,V18:V23)))</f>
        <v>0</v>
      </c>
      <c r="E18" s="70" t="s">
        <v>72</v>
      </c>
      <c r="F18" s="71">
        <v>3.0</v>
      </c>
      <c r="G18" s="72" t="s">
        <v>73</v>
      </c>
      <c r="H18" s="73" t="s">
        <v>74</v>
      </c>
      <c r="I18" s="74"/>
      <c r="J18" s="74">
        <v>1.0</v>
      </c>
      <c r="K18" s="62"/>
      <c r="L18" s="62"/>
      <c r="M18" s="75">
        <v>1.0</v>
      </c>
      <c r="N18" s="63"/>
      <c r="O18" s="63"/>
      <c r="P18" s="62"/>
      <c r="Q18" s="62"/>
      <c r="R18" s="75">
        <v>1.0</v>
      </c>
      <c r="S18" s="62"/>
      <c r="T18" s="62"/>
      <c r="U18" s="64"/>
      <c r="V18" s="65"/>
    </row>
    <row r="19" ht="22.5" customHeight="1">
      <c r="A19" s="76"/>
      <c r="B19" s="76"/>
      <c r="C19" s="76"/>
      <c r="D19" s="77"/>
      <c r="E19" s="70" t="s">
        <v>75</v>
      </c>
      <c r="F19" s="71">
        <v>2.0</v>
      </c>
      <c r="G19" s="72" t="s">
        <v>76</v>
      </c>
      <c r="H19" s="73" t="s">
        <v>74</v>
      </c>
      <c r="I19" s="61"/>
      <c r="J19" s="78"/>
      <c r="K19" s="75">
        <v>1.0</v>
      </c>
      <c r="L19" s="62"/>
      <c r="M19" s="62"/>
      <c r="N19" s="63"/>
      <c r="O19" s="63"/>
      <c r="P19" s="62"/>
      <c r="Q19" s="75">
        <v>1.0</v>
      </c>
      <c r="R19" s="62"/>
      <c r="S19" s="62"/>
      <c r="T19" s="62"/>
      <c r="U19" s="64"/>
      <c r="V19" s="65"/>
    </row>
    <row r="20" ht="22.5" customHeight="1">
      <c r="A20" s="76"/>
      <c r="B20" s="76"/>
      <c r="C20" s="76"/>
      <c r="D20" s="77"/>
      <c r="E20" s="70" t="s">
        <v>77</v>
      </c>
      <c r="F20" s="71">
        <v>3.0</v>
      </c>
      <c r="G20" s="72" t="s">
        <v>78</v>
      </c>
      <c r="H20" s="73" t="s">
        <v>74</v>
      </c>
      <c r="I20" s="74">
        <v>1.0</v>
      </c>
      <c r="J20" s="61"/>
      <c r="K20" s="62"/>
      <c r="L20" s="75">
        <v>1.0</v>
      </c>
      <c r="M20" s="79"/>
      <c r="N20" s="63"/>
      <c r="O20" s="63"/>
      <c r="P20" s="62"/>
      <c r="Q20" s="62"/>
      <c r="R20" s="62"/>
      <c r="S20" s="75">
        <v>1.0</v>
      </c>
      <c r="T20" s="62"/>
      <c r="U20" s="64"/>
      <c r="V20" s="65"/>
    </row>
    <row r="21" ht="22.5" customHeight="1">
      <c r="A21" s="76"/>
      <c r="B21" s="76"/>
      <c r="C21" s="76"/>
      <c r="D21" s="77"/>
      <c r="E21" s="70" t="s">
        <v>79</v>
      </c>
      <c r="F21" s="71">
        <v>3.0</v>
      </c>
      <c r="G21" s="72" t="s">
        <v>76</v>
      </c>
      <c r="H21" s="73" t="s">
        <v>74</v>
      </c>
      <c r="I21" s="61"/>
      <c r="J21" s="61"/>
      <c r="K21" s="75">
        <v>1.0</v>
      </c>
      <c r="L21" s="75">
        <v>1.0</v>
      </c>
      <c r="M21" s="79"/>
      <c r="N21" s="63"/>
      <c r="O21" s="63"/>
      <c r="P21" s="62"/>
      <c r="Q21" s="75">
        <v>1.0</v>
      </c>
      <c r="R21" s="62"/>
      <c r="S21" s="62"/>
      <c r="T21" s="62"/>
      <c r="U21" s="64"/>
      <c r="V21" s="65"/>
    </row>
    <row r="22" ht="22.5" customHeight="1">
      <c r="A22" s="76"/>
      <c r="B22" s="76"/>
      <c r="C22" s="76"/>
      <c r="D22" s="77"/>
      <c r="E22" s="70" t="s">
        <v>80</v>
      </c>
      <c r="F22" s="71">
        <v>2.0</v>
      </c>
      <c r="G22" s="72" t="s">
        <v>73</v>
      </c>
      <c r="H22" s="73" t="s">
        <v>74</v>
      </c>
      <c r="I22" s="61"/>
      <c r="J22" s="74">
        <v>1.0</v>
      </c>
      <c r="K22" s="75"/>
      <c r="L22" s="62"/>
      <c r="M22" s="62"/>
      <c r="N22" s="63"/>
      <c r="O22" s="63"/>
      <c r="P22" s="79"/>
      <c r="Q22" s="62"/>
      <c r="R22" s="75">
        <v>2.0</v>
      </c>
      <c r="S22" s="62"/>
      <c r="T22" s="62"/>
      <c r="U22" s="64"/>
      <c r="V22" s="65"/>
    </row>
    <row r="23" ht="22.5" customHeight="1">
      <c r="A23" s="80"/>
      <c r="B23" s="80"/>
      <c r="C23" s="80"/>
      <c r="D23" s="81"/>
      <c r="E23" s="70" t="s">
        <v>81</v>
      </c>
      <c r="F23" s="71">
        <v>0.0</v>
      </c>
      <c r="G23" s="72" t="s">
        <v>78</v>
      </c>
      <c r="H23" s="73" t="s">
        <v>74</v>
      </c>
      <c r="I23" s="61"/>
      <c r="J23" s="61"/>
      <c r="K23" s="62"/>
      <c r="L23" s="62"/>
      <c r="M23" s="62"/>
      <c r="N23" s="63"/>
      <c r="O23" s="63"/>
      <c r="P23" s="62"/>
      <c r="Q23" s="62"/>
      <c r="R23" s="62"/>
      <c r="S23" s="62"/>
      <c r="T23" s="62"/>
      <c r="U23" s="64"/>
      <c r="V23" s="65"/>
    </row>
    <row r="24" ht="22.5" customHeight="1">
      <c r="A24" s="67" t="s">
        <v>82</v>
      </c>
      <c r="B24" s="68">
        <f>SUM(F24:F26)</f>
        <v>9</v>
      </c>
      <c r="C24" s="68">
        <f>IF(B24&lt;SUM(I24:I26, J24:J26, K24:K26,L24:L26,M24:M26,N24:N26,O24:O26,P24:P26,Q24:Q26,R24:R26,S24:S26,T24:T26,U24:U26,V24:V26),SUM(I24:I26, J24:J26, K24:K26,L24:L26,M24:M26,N24:N26,O24:O26,P24:P26,Q24:Q26,R24:R26,S24:S26,T24:T26,U24:U26,V24:V26),B24)</f>
        <v>9</v>
      </c>
      <c r="D24" s="69">
        <f>IF(C24&gt;B24,$C24-(SUM(I24:I26, J24:J26, K24:K26,L24:L26,M24:M26,N24:N26,O24:O26,P24:P26,Q24:Q26,R24:R26,S24:S26,T24:T26,U24:U26,V24:V26)),$B24-(SUM(I24:I26, J24:J26, K24:K26,L24:L26,M24:M26,N24:N26,O24:O26,P24:P26,Q24:Q26,R24:R26,S24:S26,T24:T26,U24:U26,V24:V26)))</f>
        <v>0</v>
      </c>
      <c r="E24" s="70" t="s">
        <v>83</v>
      </c>
      <c r="F24" s="82">
        <v>2.0</v>
      </c>
      <c r="G24" s="72" t="s">
        <v>73</v>
      </c>
      <c r="H24" s="73" t="s">
        <v>74</v>
      </c>
      <c r="I24" s="61"/>
      <c r="J24" s="61"/>
      <c r="K24" s="75">
        <v>2.0</v>
      </c>
      <c r="L24" s="79"/>
      <c r="M24" s="62"/>
      <c r="N24" s="63"/>
      <c r="O24" s="63"/>
      <c r="P24" s="62"/>
      <c r="Q24" s="62"/>
      <c r="R24" s="62"/>
      <c r="S24" s="62"/>
      <c r="T24" s="62"/>
      <c r="U24" s="64"/>
      <c r="V24" s="65"/>
    </row>
    <row r="25" ht="22.5" customHeight="1">
      <c r="A25" s="76"/>
      <c r="B25" s="76"/>
      <c r="C25" s="76"/>
      <c r="D25" s="77"/>
      <c r="E25" s="70" t="s">
        <v>84</v>
      </c>
      <c r="F25" s="82">
        <v>4.0</v>
      </c>
      <c r="G25" s="72" t="s">
        <v>76</v>
      </c>
      <c r="H25" s="73" t="s">
        <v>74</v>
      </c>
      <c r="I25" s="74"/>
      <c r="J25" s="74"/>
      <c r="K25" s="75">
        <v>1.0</v>
      </c>
      <c r="L25" s="62"/>
      <c r="M25" s="75"/>
      <c r="N25" s="63"/>
      <c r="O25" s="63"/>
      <c r="P25" s="62"/>
      <c r="Q25" s="75">
        <v>2.0</v>
      </c>
      <c r="R25" s="62"/>
      <c r="S25" s="62"/>
      <c r="T25" s="75">
        <v>1.0</v>
      </c>
      <c r="U25" s="64"/>
      <c r="V25" s="65"/>
    </row>
    <row r="26" ht="22.5" customHeight="1">
      <c r="A26" s="80"/>
      <c r="B26" s="80"/>
      <c r="C26" s="80"/>
      <c r="D26" s="81"/>
      <c r="E26" s="70" t="s">
        <v>85</v>
      </c>
      <c r="F26" s="82">
        <v>3.0</v>
      </c>
      <c r="G26" s="72" t="s">
        <v>78</v>
      </c>
      <c r="H26" s="73" t="s">
        <v>74</v>
      </c>
      <c r="I26" s="61"/>
      <c r="J26" s="74">
        <v>1.0</v>
      </c>
      <c r="K26" s="62"/>
      <c r="L26" s="62"/>
      <c r="M26" s="75">
        <v>1.0</v>
      </c>
      <c r="N26" s="83"/>
      <c r="O26" s="63"/>
      <c r="P26" s="62"/>
      <c r="Q26" s="62"/>
      <c r="R26" s="75">
        <v>1.0</v>
      </c>
      <c r="S26" s="62"/>
      <c r="T26" s="62"/>
      <c r="U26" s="64"/>
      <c r="V26" s="65"/>
    </row>
    <row r="27" ht="22.5" customHeight="1">
      <c r="A27" s="67" t="s">
        <v>86</v>
      </c>
      <c r="B27" s="68">
        <f>SUM(F27:F30)</f>
        <v>21</v>
      </c>
      <c r="C27" s="68">
        <f>IF(B27&lt;SUM(I27:I30, J27:J30, K27:K30,L27:L30,M27:M30,N27:N30,O27:O30,P27:P30,Q27:Q30,R27:R30,S27:S30,T27:T30,U27:U30,V27:V30),SUM(I27:I30, J27:J30, K27:K30,L27:L30,M27:M30,N27:N30,O27:O30,P27:P30,Q27:Q30,R27:R30,S27:S30,T27:T30,U27:U30,V27:V30),B27)</f>
        <v>22</v>
      </c>
      <c r="D27" s="69">
        <f>IF(C27&gt;B27,$C27-(SUM(I27:I30, J27:J30, K27:K30,L27:L30,M27:M30,N27:N30,O27:O30,P27:P30,Q27:Q30,R27:R30,S27:S30,T27:T30,U27:U30,V27:V30)),$B27-(SUM(I27:I30, J27:J30, K27:K30,L27:L30,M27:M30,N27:N30,O27:O30,P27:P30,Q27:Q30,R27:R30,S27:S30,T27:T30,U27:U30,V27:V30)))</f>
        <v>0</v>
      </c>
      <c r="E27" s="70" t="s">
        <v>87</v>
      </c>
      <c r="F27" s="71">
        <v>6.0</v>
      </c>
      <c r="G27" s="72" t="s">
        <v>78</v>
      </c>
      <c r="H27" s="73" t="s">
        <v>74</v>
      </c>
      <c r="I27" s="74">
        <v>1.0</v>
      </c>
      <c r="J27" s="61"/>
      <c r="K27" s="75">
        <v>1.0</v>
      </c>
      <c r="L27" s="62"/>
      <c r="M27" s="75">
        <v>1.0</v>
      </c>
      <c r="N27" s="63"/>
      <c r="O27" s="63"/>
      <c r="P27" s="62"/>
      <c r="Q27" s="75">
        <v>1.0</v>
      </c>
      <c r="R27" s="62"/>
      <c r="S27" s="75">
        <v>1.0</v>
      </c>
      <c r="T27" s="75">
        <v>1.0</v>
      </c>
      <c r="U27" s="64"/>
      <c r="V27" s="65"/>
    </row>
    <row r="28" ht="22.5" customHeight="1">
      <c r="A28" s="76"/>
      <c r="B28" s="76"/>
      <c r="C28" s="76"/>
      <c r="D28" s="77"/>
      <c r="E28" s="70" t="s">
        <v>88</v>
      </c>
      <c r="F28" s="71">
        <v>5.0</v>
      </c>
      <c r="G28" s="72" t="s">
        <v>73</v>
      </c>
      <c r="H28" s="73" t="s">
        <v>74</v>
      </c>
      <c r="I28" s="74"/>
      <c r="J28" s="74">
        <v>1.0</v>
      </c>
      <c r="K28" s="62"/>
      <c r="L28" s="75">
        <v>2.0</v>
      </c>
      <c r="M28" s="62"/>
      <c r="N28" s="63"/>
      <c r="O28" s="63"/>
      <c r="P28" s="62"/>
      <c r="Q28" s="75">
        <v>2.0</v>
      </c>
      <c r="R28" s="62"/>
      <c r="S28" s="75">
        <v>1.0</v>
      </c>
      <c r="T28" s="62"/>
      <c r="U28" s="64"/>
      <c r="V28" s="65"/>
    </row>
    <row r="29" ht="22.5" customHeight="1">
      <c r="A29" s="76"/>
      <c r="B29" s="76"/>
      <c r="C29" s="76"/>
      <c r="D29" s="77"/>
      <c r="E29" s="70" t="s">
        <v>89</v>
      </c>
      <c r="F29" s="71">
        <v>5.0</v>
      </c>
      <c r="G29" s="72" t="s">
        <v>76</v>
      </c>
      <c r="H29" s="73" t="s">
        <v>74</v>
      </c>
      <c r="I29" s="61"/>
      <c r="J29" s="61"/>
      <c r="K29" s="74">
        <v>1.0</v>
      </c>
      <c r="L29" s="78"/>
      <c r="M29" s="78"/>
      <c r="N29" s="63"/>
      <c r="O29" s="63"/>
      <c r="P29" s="75">
        <v>2.0</v>
      </c>
      <c r="Q29" s="75"/>
      <c r="R29" s="75">
        <v>1.0</v>
      </c>
      <c r="S29" s="62"/>
      <c r="T29" s="75">
        <v>1.0</v>
      </c>
      <c r="U29" s="64"/>
      <c r="V29" s="65"/>
    </row>
    <row r="30" ht="22.5" customHeight="1">
      <c r="A30" s="80"/>
      <c r="B30" s="80"/>
      <c r="C30" s="80"/>
      <c r="D30" s="81"/>
      <c r="E30" s="84" t="s">
        <v>90</v>
      </c>
      <c r="F30" s="85">
        <v>5.0</v>
      </c>
      <c r="G30" s="86" t="s">
        <v>78</v>
      </c>
      <c r="H30" s="87" t="s">
        <v>74</v>
      </c>
      <c r="I30" s="88">
        <v>1.0</v>
      </c>
      <c r="J30" s="89"/>
      <c r="K30" s="90"/>
      <c r="L30" s="91">
        <v>1.0</v>
      </c>
      <c r="M30" s="90"/>
      <c r="N30" s="92"/>
      <c r="O30" s="92"/>
      <c r="P30" s="90"/>
      <c r="Q30" s="91">
        <v>2.0</v>
      </c>
      <c r="R30" s="91"/>
      <c r="S30" s="90"/>
      <c r="T30" s="91">
        <v>1.0</v>
      </c>
      <c r="U30" s="93"/>
      <c r="V30" s="94"/>
    </row>
    <row r="31" ht="22.5" customHeight="1">
      <c r="A31" s="95" t="s">
        <v>91</v>
      </c>
      <c r="B31" s="96">
        <f t="shared" ref="B31:D31" si="2">SUM(B3:B30)</f>
        <v>43</v>
      </c>
      <c r="C31" s="97">
        <f t="shared" si="2"/>
        <v>45</v>
      </c>
      <c r="D31" s="97">
        <f t="shared" si="2"/>
        <v>0</v>
      </c>
      <c r="E31" s="98"/>
      <c r="F31" s="99"/>
      <c r="G31" s="100"/>
      <c r="H31" s="101"/>
      <c r="I31" s="102">
        <f t="shared" ref="I31:V31" si="3">SUM(I3:I30)</f>
        <v>3</v>
      </c>
      <c r="J31" s="102">
        <f t="shared" si="3"/>
        <v>4</v>
      </c>
      <c r="K31" s="102">
        <f t="shared" si="3"/>
        <v>7</v>
      </c>
      <c r="L31" s="102">
        <f t="shared" si="3"/>
        <v>5</v>
      </c>
      <c r="M31" s="102">
        <f t="shared" si="3"/>
        <v>3</v>
      </c>
      <c r="N31" s="102">
        <f t="shared" si="3"/>
        <v>0</v>
      </c>
      <c r="O31" s="102">
        <f t="shared" si="3"/>
        <v>0</v>
      </c>
      <c r="P31" s="102">
        <f t="shared" si="3"/>
        <v>2</v>
      </c>
      <c r="Q31" s="102">
        <f t="shared" si="3"/>
        <v>9</v>
      </c>
      <c r="R31" s="102">
        <f t="shared" si="3"/>
        <v>5</v>
      </c>
      <c r="S31" s="102">
        <f t="shared" si="3"/>
        <v>3</v>
      </c>
      <c r="T31" s="102">
        <f t="shared" si="3"/>
        <v>4</v>
      </c>
      <c r="U31" s="102">
        <f t="shared" si="3"/>
        <v>0</v>
      </c>
      <c r="V31" s="103">
        <f t="shared" si="3"/>
        <v>0</v>
      </c>
    </row>
    <row r="32">
      <c r="A32" s="104" t="s">
        <v>92</v>
      </c>
      <c r="B32" s="105">
        <f>B31-SUM(I32:V32)</f>
        <v>43</v>
      </c>
      <c r="C32" s="106">
        <f>B32/B31</f>
        <v>1</v>
      </c>
      <c r="D32" s="107"/>
      <c r="E32" s="108"/>
      <c r="F32" s="58"/>
      <c r="G32" s="59"/>
      <c r="H32" s="60"/>
      <c r="I32" s="109">
        <f>SUM('Team members'!$B:$B)</f>
        <v>0</v>
      </c>
      <c r="J32" s="110">
        <f>SUM('Team members'!$B:$B)</f>
        <v>0</v>
      </c>
      <c r="K32" s="110">
        <f>SUM('Team members'!$B:$B)</f>
        <v>0</v>
      </c>
      <c r="L32" s="110">
        <f>SUM('Team members'!$B:$B)</f>
        <v>0</v>
      </c>
      <c r="M32" s="110">
        <f>SUM('Team members'!$B:$B)</f>
        <v>0</v>
      </c>
      <c r="N32" s="111">
        <v>0.0</v>
      </c>
      <c r="O32" s="111">
        <v>0.0</v>
      </c>
      <c r="P32" s="110">
        <f>SUM('Team members'!$B:$B)</f>
        <v>0</v>
      </c>
      <c r="Q32" s="110">
        <f>SUM('Team members'!$B:$B)</f>
        <v>0</v>
      </c>
      <c r="R32" s="110">
        <f>SUM('Team members'!$B:$B)</f>
        <v>0</v>
      </c>
      <c r="S32" s="110">
        <f>SUM('Team members'!$B:$B)</f>
        <v>0</v>
      </c>
      <c r="T32" s="110">
        <f>SUM('Team members'!$B:$B)</f>
        <v>0</v>
      </c>
      <c r="U32" s="111">
        <v>0.0</v>
      </c>
      <c r="V32" s="112">
        <v>0.0</v>
      </c>
    </row>
    <row r="33">
      <c r="A33" s="113" t="s">
        <v>93</v>
      </c>
      <c r="B33" s="107"/>
      <c r="C33" s="107"/>
      <c r="D33" s="107"/>
      <c r="E33" s="108"/>
      <c r="F33" s="58"/>
      <c r="G33" s="114" t="s">
        <v>94</v>
      </c>
      <c r="H33" s="115">
        <f>B31</f>
        <v>43</v>
      </c>
      <c r="I33" s="116">
        <f t="shared" ref="I33:V33" si="4">MAX(H33-I32,0)</f>
        <v>43</v>
      </c>
      <c r="J33" s="116">
        <f t="shared" si="4"/>
        <v>43</v>
      </c>
      <c r="K33" s="116">
        <f t="shared" si="4"/>
        <v>43</v>
      </c>
      <c r="L33" s="116">
        <f t="shared" si="4"/>
        <v>43</v>
      </c>
      <c r="M33" s="116">
        <f t="shared" si="4"/>
        <v>43</v>
      </c>
      <c r="N33" s="116">
        <f t="shared" si="4"/>
        <v>43</v>
      </c>
      <c r="O33" s="116">
        <f t="shared" si="4"/>
        <v>43</v>
      </c>
      <c r="P33" s="116">
        <f t="shared" si="4"/>
        <v>43</v>
      </c>
      <c r="Q33" s="116">
        <f t="shared" si="4"/>
        <v>43</v>
      </c>
      <c r="R33" s="116">
        <f t="shared" si="4"/>
        <v>43</v>
      </c>
      <c r="S33" s="116">
        <f t="shared" si="4"/>
        <v>43</v>
      </c>
      <c r="T33" s="116">
        <f t="shared" si="4"/>
        <v>43</v>
      </c>
      <c r="U33" s="116">
        <f t="shared" si="4"/>
        <v>43</v>
      </c>
      <c r="V33" s="116">
        <f t="shared" si="4"/>
        <v>43</v>
      </c>
    </row>
    <row r="34">
      <c r="A34" s="117" t="s">
        <v>95</v>
      </c>
      <c r="B34" s="118"/>
      <c r="C34" s="118"/>
      <c r="D34" s="118"/>
      <c r="E34" s="119"/>
      <c r="F34" s="120"/>
      <c r="G34" s="121" t="s">
        <v>96</v>
      </c>
      <c r="H34" s="122">
        <f>C31</f>
        <v>45</v>
      </c>
      <c r="I34" s="123">
        <f t="shared" ref="I34:V34" si="5">H34-I31</f>
        <v>42</v>
      </c>
      <c r="J34" s="123">
        <f t="shared" si="5"/>
        <v>38</v>
      </c>
      <c r="K34" s="123">
        <f t="shared" si="5"/>
        <v>31</v>
      </c>
      <c r="L34" s="123">
        <f t="shared" si="5"/>
        <v>26</v>
      </c>
      <c r="M34" s="123">
        <f t="shared" si="5"/>
        <v>23</v>
      </c>
      <c r="N34" s="123">
        <f t="shared" si="5"/>
        <v>23</v>
      </c>
      <c r="O34" s="123">
        <f t="shared" si="5"/>
        <v>23</v>
      </c>
      <c r="P34" s="123">
        <f t="shared" si="5"/>
        <v>21</v>
      </c>
      <c r="Q34" s="123">
        <f t="shared" si="5"/>
        <v>12</v>
      </c>
      <c r="R34" s="123">
        <f t="shared" si="5"/>
        <v>7</v>
      </c>
      <c r="S34" s="123">
        <f t="shared" si="5"/>
        <v>4</v>
      </c>
      <c r="T34" s="123">
        <f t="shared" si="5"/>
        <v>0</v>
      </c>
      <c r="U34" s="123">
        <f t="shared" si="5"/>
        <v>0</v>
      </c>
      <c r="V34" s="124">
        <f t="shared" si="5"/>
        <v>0</v>
      </c>
    </row>
    <row r="35">
      <c r="A35" s="125"/>
      <c r="B35" s="126"/>
      <c r="C35" s="126"/>
      <c r="D35" s="126"/>
      <c r="E35" s="127"/>
      <c r="F35" s="128"/>
      <c r="G35" s="129"/>
      <c r="H35" s="130"/>
      <c r="I35" s="131"/>
      <c r="J35" s="132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</row>
    <row r="36">
      <c r="A36" s="134" t="s">
        <v>97</v>
      </c>
      <c r="B36" s="135">
        <v>31.0</v>
      </c>
      <c r="C36" s="136"/>
      <c r="D36" s="136"/>
      <c r="E36" s="108"/>
      <c r="F36" s="58"/>
      <c r="G36" s="59"/>
      <c r="H36" s="137"/>
      <c r="I36" s="138"/>
      <c r="J36" s="41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ht="17.25" customHeight="1">
      <c r="A37" s="39"/>
      <c r="B37" s="107"/>
      <c r="C37" s="107"/>
      <c r="D37" s="107"/>
      <c r="E37" s="108"/>
      <c r="F37" s="58"/>
      <c r="G37" s="59"/>
      <c r="H37" s="137"/>
      <c r="I37" s="138"/>
      <c r="J37" s="41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ht="17.25" customHeight="1">
      <c r="A38" s="39"/>
      <c r="B38" s="107"/>
      <c r="C38" s="107"/>
      <c r="D38" s="107"/>
      <c r="E38" s="108"/>
      <c r="F38" s="58"/>
      <c r="G38" s="59"/>
      <c r="H38" s="137"/>
      <c r="I38" s="138"/>
      <c r="J38" s="41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>
      <c r="A39" s="39"/>
      <c r="B39" s="107"/>
      <c r="C39" s="107"/>
      <c r="D39" s="107"/>
      <c r="E39" s="108"/>
      <c r="F39" s="58"/>
      <c r="G39" s="59"/>
      <c r="H39" s="137"/>
      <c r="I39" s="138"/>
      <c r="J39" s="41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>
      <c r="A40" s="39"/>
      <c r="B40" s="107"/>
      <c r="C40" s="107"/>
      <c r="D40" s="107"/>
      <c r="E40" s="108"/>
      <c r="F40" s="58"/>
      <c r="G40" s="59"/>
      <c r="H40" s="137"/>
      <c r="I40" s="138"/>
      <c r="J40" s="41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>
      <c r="A41" s="39"/>
      <c r="B41" s="107"/>
      <c r="C41" s="107"/>
      <c r="D41" s="107"/>
      <c r="E41" s="108"/>
      <c r="F41" s="58"/>
      <c r="G41" s="59"/>
      <c r="H41" s="137"/>
      <c r="I41" s="138"/>
      <c r="J41" s="41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>
      <c r="A42" s="39"/>
      <c r="B42" s="107"/>
      <c r="C42" s="107"/>
      <c r="D42" s="107"/>
      <c r="E42" s="108"/>
      <c r="F42" s="58"/>
      <c r="G42" s="59"/>
      <c r="H42" s="137"/>
      <c r="I42" s="138"/>
      <c r="J42" s="41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>
      <c r="A43" s="39"/>
      <c r="B43" s="107"/>
      <c r="C43" s="107"/>
      <c r="D43" s="107"/>
      <c r="E43" s="108"/>
      <c r="F43" s="58"/>
      <c r="G43" s="59"/>
      <c r="H43" s="137"/>
      <c r="I43" s="138"/>
      <c r="J43" s="41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>
      <c r="A44" s="39"/>
      <c r="B44" s="107"/>
      <c r="C44" s="107"/>
      <c r="D44" s="107"/>
      <c r="E44" s="108"/>
      <c r="F44" s="58"/>
      <c r="G44" s="59"/>
      <c r="H44" s="137"/>
      <c r="I44" s="138"/>
      <c r="J44" s="41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>
      <c r="A45" s="39"/>
      <c r="B45" s="107"/>
      <c r="C45" s="107"/>
      <c r="D45" s="107"/>
      <c r="E45" s="108"/>
      <c r="F45" s="58"/>
      <c r="G45" s="59"/>
      <c r="H45" s="137"/>
      <c r="I45" s="138"/>
      <c r="J45" s="41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>
      <c r="A46" s="39"/>
      <c r="B46" s="107"/>
      <c r="C46" s="107"/>
      <c r="D46" s="107"/>
      <c r="E46" s="108"/>
      <c r="F46" s="58"/>
      <c r="G46" s="59"/>
      <c r="H46" s="137"/>
      <c r="I46" s="138"/>
      <c r="J46" s="41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>
      <c r="A47" s="39"/>
      <c r="B47" s="107"/>
      <c r="C47" s="107"/>
      <c r="D47" s="107"/>
      <c r="E47" s="108"/>
      <c r="F47" s="58"/>
      <c r="G47" s="59"/>
      <c r="H47" s="137"/>
      <c r="I47" s="138"/>
      <c r="J47" s="41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>
      <c r="A48" s="39"/>
      <c r="B48" s="107"/>
      <c r="C48" s="107"/>
      <c r="D48" s="107"/>
      <c r="E48" s="108"/>
      <c r="F48" s="58"/>
      <c r="G48" s="59"/>
      <c r="H48" s="137"/>
      <c r="I48" s="138"/>
      <c r="J48" s="41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>
      <c r="A49" s="39"/>
      <c r="B49" s="107"/>
      <c r="C49" s="107"/>
      <c r="D49" s="107"/>
      <c r="E49" s="108"/>
      <c r="F49" s="58"/>
      <c r="G49" s="59"/>
      <c r="H49" s="137"/>
      <c r="I49" s="138"/>
      <c r="J49" s="41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>
      <c r="A50" s="39"/>
      <c r="B50" s="107"/>
      <c r="C50" s="107"/>
      <c r="D50" s="107"/>
      <c r="E50" s="108"/>
      <c r="F50" s="58"/>
      <c r="G50" s="59"/>
      <c r="H50" s="137"/>
      <c r="I50" s="138"/>
      <c r="J50" s="41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>
      <c r="A51" s="39"/>
      <c r="B51" s="107"/>
      <c r="C51" s="107"/>
      <c r="D51" s="107"/>
      <c r="E51" s="108"/>
      <c r="F51" s="58"/>
      <c r="G51" s="59"/>
      <c r="H51" s="137"/>
      <c r="I51" s="138"/>
      <c r="J51" s="41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>
      <c r="A52" s="39"/>
      <c r="B52" s="107"/>
      <c r="C52" s="107"/>
      <c r="D52" s="107"/>
      <c r="E52" s="108"/>
      <c r="F52" s="58"/>
      <c r="G52" s="59"/>
      <c r="H52" s="137"/>
      <c r="I52" s="138"/>
      <c r="J52" s="41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>
      <c r="A53" s="39"/>
      <c r="B53" s="107"/>
      <c r="C53" s="107"/>
      <c r="D53" s="107"/>
      <c r="E53" s="108"/>
      <c r="F53" s="58"/>
      <c r="G53" s="59"/>
      <c r="H53" s="137"/>
      <c r="I53" s="138"/>
      <c r="J53" s="41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>
      <c r="A54" s="39"/>
      <c r="B54" s="107"/>
      <c r="C54" s="107"/>
      <c r="D54" s="107"/>
      <c r="E54" s="108"/>
      <c r="F54" s="58"/>
      <c r="G54" s="59"/>
      <c r="H54" s="137"/>
      <c r="I54" s="138"/>
      <c r="J54" s="41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>
      <c r="A55" s="39"/>
      <c r="B55" s="107"/>
      <c r="C55" s="107"/>
      <c r="D55" s="107"/>
      <c r="E55" s="108"/>
      <c r="F55" s="58"/>
      <c r="G55" s="59"/>
      <c r="H55" s="137"/>
      <c r="I55" s="138"/>
      <c r="J55" s="41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>
      <c r="A56" s="39"/>
      <c r="B56" s="107"/>
      <c r="C56" s="107"/>
      <c r="D56" s="107"/>
      <c r="E56" s="108"/>
      <c r="F56" s="58"/>
      <c r="G56" s="59"/>
      <c r="H56" s="137"/>
      <c r="I56" s="138"/>
      <c r="J56" s="41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>
      <c r="A57" s="39"/>
      <c r="B57" s="107"/>
      <c r="C57" s="107"/>
      <c r="D57" s="107"/>
      <c r="E57" s="108"/>
      <c r="F57" s="58"/>
      <c r="G57" s="59"/>
      <c r="H57" s="137"/>
      <c r="I57" s="138"/>
      <c r="J57" s="41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>
      <c r="A58" s="39"/>
      <c r="B58" s="107"/>
      <c r="C58" s="107"/>
      <c r="D58" s="107"/>
      <c r="E58" s="108"/>
      <c r="F58" s="58"/>
      <c r="G58" s="59"/>
      <c r="H58" s="137"/>
      <c r="I58" s="138"/>
      <c r="J58" s="41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>
      <c r="A59" s="39"/>
      <c r="B59" s="107"/>
      <c r="C59" s="107"/>
      <c r="D59" s="107"/>
      <c r="E59" s="108"/>
      <c r="F59" s="58"/>
      <c r="G59" s="59"/>
      <c r="H59" s="137"/>
      <c r="I59" s="138"/>
      <c r="J59" s="41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</row>
    <row r="60">
      <c r="A60" s="39"/>
      <c r="B60" s="107"/>
      <c r="C60" s="107"/>
      <c r="D60" s="107"/>
      <c r="E60" s="108"/>
      <c r="F60" s="58"/>
      <c r="G60" s="59"/>
      <c r="H60" s="137"/>
      <c r="I60" s="138"/>
      <c r="J60" s="41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>
      <c r="A61" s="39"/>
      <c r="B61" s="107"/>
      <c r="C61" s="107"/>
      <c r="D61" s="107"/>
      <c r="E61" s="108"/>
      <c r="F61" s="58"/>
      <c r="G61" s="59"/>
      <c r="H61" s="137"/>
      <c r="I61" s="138"/>
      <c r="J61" s="41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>
      <c r="A62" s="39"/>
      <c r="B62" s="107"/>
      <c r="C62" s="107"/>
      <c r="D62" s="107"/>
      <c r="E62" s="108"/>
      <c r="F62" s="58"/>
      <c r="G62" s="59"/>
      <c r="H62" s="137"/>
      <c r="I62" s="138"/>
      <c r="J62" s="41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>
      <c r="A63" s="39"/>
      <c r="B63" s="107"/>
      <c r="C63" s="107"/>
      <c r="D63" s="107"/>
      <c r="E63" s="108"/>
      <c r="F63" s="58"/>
      <c r="G63" s="59"/>
      <c r="H63" s="137"/>
      <c r="I63" s="138"/>
      <c r="J63" s="41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>
      <c r="A64" s="39"/>
      <c r="B64" s="107"/>
      <c r="C64" s="107"/>
      <c r="D64" s="107"/>
      <c r="E64" s="108"/>
      <c r="F64" s="58"/>
      <c r="G64" s="59"/>
      <c r="H64" s="137"/>
      <c r="I64" s="138"/>
      <c r="J64" s="41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>
      <c r="A65" s="39"/>
      <c r="B65" s="107"/>
      <c r="C65" s="107"/>
      <c r="D65" s="107"/>
      <c r="E65" s="108"/>
      <c r="F65" s="58"/>
      <c r="G65" s="59"/>
      <c r="H65" s="137"/>
      <c r="I65" s="138"/>
      <c r="J65" s="41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>
      <c r="A66" s="39"/>
      <c r="B66" s="107"/>
      <c r="C66" s="107"/>
      <c r="D66" s="107"/>
      <c r="E66" s="108"/>
      <c r="F66" s="58"/>
      <c r="G66" s="59"/>
      <c r="H66" s="137"/>
      <c r="I66" s="138"/>
      <c r="J66" s="41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>
      <c r="A67" s="39"/>
      <c r="B67" s="107"/>
      <c r="C67" s="107"/>
      <c r="D67" s="107"/>
      <c r="E67" s="108"/>
      <c r="F67" s="58"/>
      <c r="G67" s="59"/>
      <c r="H67" s="137"/>
      <c r="I67" s="138"/>
      <c r="J67" s="41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>
      <c r="A68" s="39"/>
      <c r="B68" s="107"/>
      <c r="C68" s="107"/>
      <c r="D68" s="107"/>
      <c r="E68" s="108"/>
      <c r="F68" s="58"/>
      <c r="G68" s="59"/>
      <c r="H68" s="137"/>
      <c r="I68" s="138"/>
      <c r="J68" s="41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>
      <c r="A69" s="39"/>
      <c r="B69" s="107"/>
      <c r="C69" s="107"/>
      <c r="D69" s="107"/>
      <c r="E69" s="108"/>
      <c r="F69" s="58"/>
      <c r="G69" s="59"/>
      <c r="H69" s="137"/>
      <c r="I69" s="138"/>
      <c r="J69" s="41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  <row r="70">
      <c r="A70" s="39"/>
      <c r="B70" s="107"/>
      <c r="C70" s="107"/>
      <c r="D70" s="107"/>
      <c r="E70" s="108"/>
      <c r="F70" s="58"/>
      <c r="G70" s="59"/>
      <c r="H70" s="137"/>
      <c r="I70" s="138"/>
      <c r="J70" s="41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>
      <c r="A71" s="39"/>
      <c r="B71" s="107"/>
      <c r="C71" s="107"/>
      <c r="D71" s="107"/>
      <c r="E71" s="108"/>
      <c r="F71" s="58"/>
      <c r="G71" s="59"/>
      <c r="H71" s="137"/>
      <c r="I71" s="138"/>
      <c r="J71" s="41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</row>
    <row r="72">
      <c r="A72" s="39"/>
      <c r="B72" s="107"/>
      <c r="C72" s="107"/>
      <c r="D72" s="107"/>
      <c r="E72" s="108"/>
      <c r="F72" s="58"/>
      <c r="G72" s="59"/>
      <c r="H72" s="137"/>
      <c r="I72" s="138"/>
      <c r="J72" s="41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</row>
    <row r="73">
      <c r="A73" s="39"/>
      <c r="B73" s="107"/>
      <c r="C73" s="107"/>
      <c r="D73" s="107"/>
      <c r="E73" s="108"/>
      <c r="F73" s="58"/>
      <c r="G73" s="59"/>
      <c r="H73" s="137"/>
      <c r="I73" s="138"/>
      <c r="J73" s="41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</row>
    <row r="74">
      <c r="A74" s="39"/>
      <c r="B74" s="107"/>
      <c r="C74" s="107"/>
      <c r="D74" s="107"/>
      <c r="E74" s="108"/>
      <c r="F74" s="58"/>
      <c r="G74" s="59"/>
      <c r="H74" s="137"/>
      <c r="I74" s="138"/>
      <c r="J74" s="41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</row>
    <row r="75">
      <c r="A75" s="39"/>
      <c r="B75" s="107"/>
      <c r="C75" s="107"/>
      <c r="D75" s="107"/>
      <c r="E75" s="108"/>
      <c r="F75" s="58"/>
      <c r="G75" s="59"/>
      <c r="H75" s="137"/>
      <c r="I75" s="138"/>
      <c r="J75" s="41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</row>
    <row r="76">
      <c r="A76" s="39"/>
      <c r="B76" s="107"/>
      <c r="C76" s="107"/>
      <c r="D76" s="107"/>
      <c r="E76" s="108"/>
      <c r="F76" s="58"/>
      <c r="G76" s="59"/>
      <c r="H76" s="137"/>
      <c r="I76" s="138"/>
      <c r="J76" s="41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</row>
    <row r="77">
      <c r="A77" s="39"/>
      <c r="B77" s="107"/>
      <c r="C77" s="107"/>
      <c r="D77" s="107"/>
      <c r="E77" s="108"/>
      <c r="F77" s="58"/>
      <c r="G77" s="59"/>
      <c r="H77" s="137"/>
      <c r="I77" s="138"/>
      <c r="J77" s="41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</row>
    <row r="78">
      <c r="A78" s="39"/>
      <c r="B78" s="107"/>
      <c r="C78" s="107"/>
      <c r="D78" s="107"/>
      <c r="E78" s="108"/>
      <c r="F78" s="58"/>
      <c r="G78" s="59"/>
      <c r="H78" s="137"/>
      <c r="I78" s="138"/>
      <c r="J78" s="4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</row>
    <row r="79">
      <c r="A79" s="39"/>
      <c r="B79" s="107"/>
      <c r="C79" s="107"/>
      <c r="D79" s="107"/>
      <c r="E79" s="108"/>
      <c r="F79" s="58"/>
      <c r="G79" s="59"/>
      <c r="H79" s="137"/>
      <c r="I79" s="138"/>
      <c r="J79" s="4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</row>
    <row r="80">
      <c r="A80" s="39"/>
      <c r="B80" s="107"/>
      <c r="C80" s="107"/>
      <c r="D80" s="107"/>
      <c r="E80" s="108"/>
      <c r="F80" s="58"/>
      <c r="G80" s="59"/>
      <c r="H80" s="137"/>
      <c r="I80" s="138"/>
      <c r="J80" s="41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</row>
    <row r="81">
      <c r="A81" s="39"/>
      <c r="B81" s="107"/>
      <c r="C81" s="107"/>
      <c r="D81" s="107"/>
      <c r="E81" s="108"/>
      <c r="F81" s="58"/>
      <c r="G81" s="59"/>
      <c r="H81" s="137"/>
      <c r="I81" s="138"/>
      <c r="J81" s="4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</row>
    <row r="82">
      <c r="A82" s="39"/>
      <c r="B82" s="107"/>
      <c r="C82" s="107"/>
      <c r="D82" s="107"/>
      <c r="E82" s="108"/>
      <c r="F82" s="58"/>
      <c r="G82" s="59"/>
      <c r="H82" s="137"/>
      <c r="I82" s="138"/>
      <c r="J82" s="4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</row>
    <row r="83">
      <c r="A83" s="39"/>
      <c r="B83" s="107"/>
      <c r="C83" s="107"/>
      <c r="D83" s="107"/>
      <c r="E83" s="108"/>
      <c r="F83" s="58"/>
      <c r="G83" s="59"/>
      <c r="H83" s="137"/>
      <c r="I83" s="138"/>
      <c r="J83" s="4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</row>
    <row r="84">
      <c r="A84" s="39"/>
      <c r="B84" s="107"/>
      <c r="C84" s="107"/>
      <c r="D84" s="107"/>
      <c r="E84" s="108"/>
      <c r="F84" s="58"/>
      <c r="G84" s="59"/>
      <c r="H84" s="137"/>
      <c r="I84" s="138"/>
      <c r="J84" s="4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</row>
    <row r="85">
      <c r="A85" s="39"/>
      <c r="B85" s="107"/>
      <c r="C85" s="107"/>
      <c r="D85" s="107"/>
      <c r="E85" s="108"/>
      <c r="F85" s="58"/>
      <c r="G85" s="59"/>
      <c r="H85" s="137"/>
      <c r="I85" s="138"/>
      <c r="J85" s="4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</row>
    <row r="86">
      <c r="A86" s="39"/>
      <c r="B86" s="107"/>
      <c r="C86" s="107"/>
      <c r="D86" s="107"/>
      <c r="E86" s="108"/>
      <c r="F86" s="58"/>
      <c r="G86" s="59"/>
      <c r="H86" s="137"/>
      <c r="I86" s="138"/>
      <c r="J86" s="4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</row>
    <row r="87">
      <c r="A87" s="39"/>
      <c r="B87" s="107"/>
      <c r="C87" s="107"/>
      <c r="D87" s="107"/>
      <c r="E87" s="108"/>
      <c r="F87" s="58"/>
      <c r="G87" s="59"/>
      <c r="H87" s="137"/>
      <c r="I87" s="138"/>
      <c r="J87" s="4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</row>
    <row r="88">
      <c r="A88" s="39"/>
      <c r="B88" s="107"/>
      <c r="C88" s="107"/>
      <c r="D88" s="107"/>
      <c r="E88" s="108"/>
      <c r="F88" s="58"/>
      <c r="G88" s="59"/>
      <c r="H88" s="137"/>
      <c r="I88" s="138"/>
      <c r="J88" s="4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</row>
    <row r="89">
      <c r="A89" s="39"/>
      <c r="B89" s="107"/>
      <c r="C89" s="107"/>
      <c r="D89" s="107"/>
      <c r="E89" s="108"/>
      <c r="F89" s="58"/>
      <c r="G89" s="59"/>
      <c r="H89" s="137"/>
      <c r="I89" s="138"/>
      <c r="J89" s="4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>
      <c r="A90" s="39"/>
      <c r="B90" s="107"/>
      <c r="C90" s="107"/>
      <c r="D90" s="107"/>
      <c r="E90" s="108"/>
      <c r="F90" s="58"/>
      <c r="G90" s="59"/>
      <c r="H90" s="137"/>
      <c r="I90" s="138"/>
      <c r="J90" s="4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</row>
    <row r="91">
      <c r="A91" s="39"/>
      <c r="B91" s="107"/>
      <c r="C91" s="107"/>
      <c r="D91" s="107"/>
      <c r="E91" s="108"/>
      <c r="F91" s="58"/>
      <c r="G91" s="59"/>
      <c r="H91" s="137"/>
      <c r="I91" s="138"/>
      <c r="J91" s="4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</sheetData>
  <mergeCells count="18">
    <mergeCell ref="A1:E1"/>
    <mergeCell ref="I1:V1"/>
    <mergeCell ref="A3:A17"/>
    <mergeCell ref="B3:B17"/>
    <mergeCell ref="C3:C17"/>
    <mergeCell ref="D3:D17"/>
    <mergeCell ref="A18:A23"/>
    <mergeCell ref="D18:D23"/>
    <mergeCell ref="B27:B30"/>
    <mergeCell ref="C27:C30"/>
    <mergeCell ref="B18:B23"/>
    <mergeCell ref="C18:C23"/>
    <mergeCell ref="A24:A26"/>
    <mergeCell ref="B24:B26"/>
    <mergeCell ref="C24:C26"/>
    <mergeCell ref="D24:D26"/>
    <mergeCell ref="A27:A30"/>
    <mergeCell ref="D27:D30"/>
  </mergeCells>
  <conditionalFormatting sqref="I1:V1">
    <cfRule type="cellIs" dxfId="0" priority="1" operator="greaterThan">
      <formula>0</formula>
    </cfRule>
  </conditionalFormatting>
  <conditionalFormatting sqref="I3:V30">
    <cfRule type="cellIs" dxfId="0" priority="2" operator="greaterThan">
      <formula>0</formula>
    </cfRule>
  </conditionalFormatting>
  <conditionalFormatting sqref="I35:V91">
    <cfRule type="cellIs" dxfId="0" priority="3" operator="greaterThan">
      <formula>0</formula>
    </cfRule>
  </conditionalFormatting>
  <conditionalFormatting sqref="C19:D19">
    <cfRule type="containsText" dxfId="1" priority="4" operator="containsText" text="Done">
      <formula>NOT(ISERROR(SEARCH(("Done"),(C19))))</formula>
    </cfRule>
  </conditionalFormatting>
  <conditionalFormatting sqref="B28:D28">
    <cfRule type="containsText" dxfId="1" priority="5" operator="containsText" text="Done">
      <formula>NOT(ISERROR(SEARCH(("Done"),(B28))))</formula>
    </cfRule>
  </conditionalFormatting>
  <conditionalFormatting sqref="A6:F6">
    <cfRule type="containsText" dxfId="1" priority="6" operator="containsText" text="Done">
      <formula>NOT(ISERROR(SEARCH(("Done"),(A6))))</formula>
    </cfRule>
  </conditionalFormatting>
  <conditionalFormatting sqref="A25:F25">
    <cfRule type="containsText" dxfId="1" priority="7" operator="containsText" text="Done">
      <formula>NOT(ISERROR(SEARCH(("Done"),(A25))))</formula>
    </cfRule>
  </conditionalFormatting>
  <conditionalFormatting sqref="G6:G17">
    <cfRule type="containsText" dxfId="1" priority="8" operator="containsText" text="Done">
      <formula>NOT(ISERROR(SEARCH(("Done"),(G6))))</formula>
    </cfRule>
  </conditionalFormatting>
  <conditionalFormatting sqref="A33:A34">
    <cfRule type="cellIs" dxfId="2" priority="9" operator="lessThan">
      <formula>1</formula>
    </cfRule>
  </conditionalFormatting>
  <conditionalFormatting sqref="H3:H30">
    <cfRule type="containsText" dxfId="3" priority="10" operator="containsText" text="Done">
      <formula>NOT(ISERROR(SEARCH(("Done"),(H3))))</formula>
    </cfRule>
  </conditionalFormatting>
  <conditionalFormatting sqref="H3:H30">
    <cfRule type="containsText" dxfId="4" priority="11" operator="containsText" text="Blocked">
      <formula>NOT(ISERROR(SEARCH(("Blocked"),(H3))))</formula>
    </cfRule>
  </conditionalFormatting>
  <conditionalFormatting sqref="H3:H30">
    <cfRule type="containsText" dxfId="5" priority="12" operator="containsText" text="Working">
      <formula>NOT(ISERROR(SEARCH(("Working"),(H3))))</formula>
    </cfRule>
  </conditionalFormatting>
  <conditionalFormatting sqref="H18:H30">
    <cfRule type="containsText" dxfId="6" priority="13" operator="containsText" text="Verify">
      <formula>NOT(ISERROR(SEARCH(("Verify"),(H18))))</formula>
    </cfRule>
  </conditionalFormatting>
  <dataValidations>
    <dataValidation type="list" allowBlank="1" showErrorMessage="1" sqref="H3:H30">
      <formula1>'Task statuses'!$A$1:$A$100</formula1>
    </dataValidation>
    <dataValidation type="list" allowBlank="1" showErrorMessage="1" sqref="G3:G30">
      <formula1>'Team members'!$A$1:$A$100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26.88"/>
    <col customWidth="1" min="2" max="4" width="6.38"/>
    <col customWidth="1" min="5" max="5" width="25.13"/>
    <col customWidth="1" min="6" max="6" width="6.38"/>
    <col customWidth="1" min="7" max="7" width="13.13"/>
    <col customWidth="1" min="8" max="8" width="10.38"/>
    <col customWidth="1" min="9" max="22" width="3.88"/>
  </cols>
  <sheetData>
    <row r="1" ht="24.0" customHeight="1">
      <c r="A1" s="139" t="s">
        <v>98</v>
      </c>
      <c r="F1" s="39"/>
      <c r="G1" s="140" t="s">
        <v>62</v>
      </c>
      <c r="H1" s="141">
        <v>46083.0</v>
      </c>
      <c r="I1" s="45" t="s">
        <v>63</v>
      </c>
      <c r="V1" s="46"/>
    </row>
    <row r="2" ht="17.25" customHeight="1">
      <c r="A2" s="47" t="s">
        <v>64</v>
      </c>
      <c r="B2" s="48" t="s">
        <v>65</v>
      </c>
      <c r="C2" s="48" t="s">
        <v>66</v>
      </c>
      <c r="D2" s="48" t="s">
        <v>67</v>
      </c>
      <c r="E2" s="49" t="s">
        <v>68</v>
      </c>
      <c r="F2" s="50" t="s">
        <v>65</v>
      </c>
      <c r="G2" s="51" t="s">
        <v>69</v>
      </c>
      <c r="H2" s="52" t="s">
        <v>70</v>
      </c>
      <c r="I2" s="53">
        <f>H1</f>
        <v>46083</v>
      </c>
      <c r="J2" s="53">
        <f t="shared" ref="J2:V2" si="1">I2+1</f>
        <v>46084</v>
      </c>
      <c r="K2" s="53">
        <f t="shared" si="1"/>
        <v>46085</v>
      </c>
      <c r="L2" s="53">
        <f t="shared" si="1"/>
        <v>46086</v>
      </c>
      <c r="M2" s="53">
        <f t="shared" si="1"/>
        <v>46087</v>
      </c>
      <c r="N2" s="53">
        <f t="shared" si="1"/>
        <v>46088</v>
      </c>
      <c r="O2" s="53">
        <f t="shared" si="1"/>
        <v>46089</v>
      </c>
      <c r="P2" s="53">
        <f t="shared" si="1"/>
        <v>46090</v>
      </c>
      <c r="Q2" s="53">
        <f t="shared" si="1"/>
        <v>46091</v>
      </c>
      <c r="R2" s="53">
        <f t="shared" si="1"/>
        <v>46092</v>
      </c>
      <c r="S2" s="53">
        <f t="shared" si="1"/>
        <v>46093</v>
      </c>
      <c r="T2" s="53">
        <f t="shared" si="1"/>
        <v>46094</v>
      </c>
      <c r="U2" s="53">
        <f t="shared" si="1"/>
        <v>46095</v>
      </c>
      <c r="V2" s="53">
        <f t="shared" si="1"/>
        <v>46096</v>
      </c>
    </row>
    <row r="3" ht="22.5" hidden="1" customHeight="1">
      <c r="A3" s="54"/>
      <c r="B3" s="55">
        <v>0.0</v>
      </c>
      <c r="C3" s="56">
        <v>0.0</v>
      </c>
      <c r="D3" s="56">
        <v>0.0</v>
      </c>
      <c r="E3" s="108"/>
      <c r="F3" s="58"/>
      <c r="G3" s="59"/>
      <c r="H3" s="60"/>
      <c r="I3" s="142"/>
      <c r="J3" s="142"/>
      <c r="K3" s="59"/>
      <c r="L3" s="59"/>
      <c r="M3" s="59"/>
      <c r="N3" s="143"/>
      <c r="O3" s="143"/>
      <c r="P3" s="59"/>
      <c r="Q3" s="59"/>
      <c r="R3" s="59"/>
      <c r="S3" s="59"/>
      <c r="T3" s="59"/>
      <c r="U3" s="144"/>
      <c r="V3" s="145"/>
    </row>
    <row r="4" ht="22.5" hidden="1" customHeight="1">
      <c r="A4" s="46"/>
      <c r="B4" s="66"/>
      <c r="E4" s="108"/>
      <c r="F4" s="58"/>
      <c r="G4" s="59"/>
      <c r="H4" s="60"/>
      <c r="I4" s="142"/>
      <c r="J4" s="142"/>
      <c r="K4" s="59"/>
      <c r="L4" s="59"/>
      <c r="M4" s="59"/>
      <c r="N4" s="143"/>
      <c r="O4" s="143"/>
      <c r="P4" s="59"/>
      <c r="Q4" s="59"/>
      <c r="R4" s="59"/>
      <c r="S4" s="59"/>
      <c r="T4" s="59"/>
      <c r="U4" s="144"/>
      <c r="V4" s="145"/>
    </row>
    <row r="5" ht="22.5" hidden="1" customHeight="1">
      <c r="A5" s="46"/>
      <c r="B5" s="66"/>
      <c r="E5" s="108"/>
      <c r="F5" s="58"/>
      <c r="G5" s="59"/>
      <c r="H5" s="60"/>
      <c r="I5" s="142"/>
      <c r="J5" s="142"/>
      <c r="K5" s="59"/>
      <c r="L5" s="59"/>
      <c r="M5" s="59"/>
      <c r="N5" s="143"/>
      <c r="O5" s="143"/>
      <c r="P5" s="59"/>
      <c r="Q5" s="59"/>
      <c r="R5" s="59"/>
      <c r="S5" s="59"/>
      <c r="T5" s="59"/>
      <c r="U5" s="144"/>
      <c r="V5" s="145"/>
    </row>
    <row r="6" ht="22.5" hidden="1" customHeight="1">
      <c r="A6" s="46"/>
      <c r="B6" s="66"/>
      <c r="E6" s="108"/>
      <c r="F6" s="58"/>
      <c r="G6" s="59"/>
      <c r="H6" s="60"/>
      <c r="I6" s="142"/>
      <c r="J6" s="142"/>
      <c r="K6" s="59"/>
      <c r="L6" s="59"/>
      <c r="M6" s="59"/>
      <c r="N6" s="143"/>
      <c r="O6" s="143"/>
      <c r="P6" s="59"/>
      <c r="Q6" s="59"/>
      <c r="R6" s="59"/>
      <c r="S6" s="59"/>
      <c r="T6" s="59"/>
      <c r="U6" s="144"/>
      <c r="V6" s="145"/>
    </row>
    <row r="7" ht="22.5" hidden="1" customHeight="1">
      <c r="A7" s="46"/>
      <c r="B7" s="66"/>
      <c r="E7" s="108"/>
      <c r="F7" s="58"/>
      <c r="G7" s="59"/>
      <c r="H7" s="60"/>
      <c r="I7" s="142"/>
      <c r="J7" s="142"/>
      <c r="K7" s="59"/>
      <c r="L7" s="59"/>
      <c r="M7" s="59"/>
      <c r="N7" s="143"/>
      <c r="O7" s="143"/>
      <c r="P7" s="59"/>
      <c r="Q7" s="59"/>
      <c r="R7" s="59"/>
      <c r="S7" s="59"/>
      <c r="T7" s="59"/>
      <c r="U7" s="144"/>
      <c r="V7" s="145"/>
    </row>
    <row r="8" ht="22.5" hidden="1" customHeight="1">
      <c r="A8" s="46"/>
      <c r="B8" s="66"/>
      <c r="E8" s="108"/>
      <c r="F8" s="58"/>
      <c r="G8" s="59"/>
      <c r="H8" s="60"/>
      <c r="I8" s="142"/>
      <c r="J8" s="142"/>
      <c r="K8" s="59"/>
      <c r="L8" s="59"/>
      <c r="M8" s="59"/>
      <c r="N8" s="143"/>
      <c r="O8" s="143"/>
      <c r="P8" s="59"/>
      <c r="Q8" s="59"/>
      <c r="R8" s="59"/>
      <c r="S8" s="59"/>
      <c r="T8" s="59"/>
      <c r="U8" s="144"/>
      <c r="V8" s="145"/>
    </row>
    <row r="9" ht="22.5" hidden="1" customHeight="1">
      <c r="A9" s="46"/>
      <c r="B9" s="66"/>
      <c r="E9" s="108"/>
      <c r="F9" s="58"/>
      <c r="G9" s="59"/>
      <c r="H9" s="60"/>
      <c r="I9" s="142"/>
      <c r="J9" s="142"/>
      <c r="K9" s="59"/>
      <c r="L9" s="59"/>
      <c r="M9" s="59"/>
      <c r="N9" s="143"/>
      <c r="O9" s="143"/>
      <c r="P9" s="59"/>
      <c r="Q9" s="59"/>
      <c r="R9" s="59"/>
      <c r="S9" s="59"/>
      <c r="T9" s="59"/>
      <c r="U9" s="144"/>
      <c r="V9" s="145"/>
    </row>
    <row r="10" ht="22.5" hidden="1" customHeight="1">
      <c r="A10" s="46"/>
      <c r="B10" s="66"/>
      <c r="E10" s="108"/>
      <c r="F10" s="58"/>
      <c r="G10" s="59"/>
      <c r="H10" s="60"/>
      <c r="I10" s="142"/>
      <c r="J10" s="142"/>
      <c r="K10" s="59"/>
      <c r="L10" s="59"/>
      <c r="M10" s="59"/>
      <c r="N10" s="143"/>
      <c r="O10" s="143"/>
      <c r="P10" s="59"/>
      <c r="Q10" s="59"/>
      <c r="R10" s="59"/>
      <c r="S10" s="59"/>
      <c r="T10" s="59"/>
      <c r="U10" s="144"/>
      <c r="V10" s="145"/>
    </row>
    <row r="11" ht="22.5" hidden="1" customHeight="1">
      <c r="A11" s="46"/>
      <c r="B11" s="66"/>
      <c r="E11" s="108"/>
      <c r="F11" s="58"/>
      <c r="G11" s="59"/>
      <c r="H11" s="60"/>
      <c r="I11" s="142"/>
      <c r="J11" s="142"/>
      <c r="K11" s="59"/>
      <c r="L11" s="59"/>
      <c r="M11" s="59"/>
      <c r="N11" s="143"/>
      <c r="O11" s="143"/>
      <c r="P11" s="59"/>
      <c r="Q11" s="59"/>
      <c r="R11" s="59"/>
      <c r="S11" s="59"/>
      <c r="T11" s="59"/>
      <c r="U11" s="144"/>
      <c r="V11" s="145"/>
    </row>
    <row r="12" ht="22.5" hidden="1" customHeight="1">
      <c r="A12" s="46"/>
      <c r="B12" s="66"/>
      <c r="E12" s="108"/>
      <c r="F12" s="58"/>
      <c r="G12" s="59"/>
      <c r="H12" s="60"/>
      <c r="I12" s="142"/>
      <c r="J12" s="142"/>
      <c r="K12" s="59"/>
      <c r="L12" s="59"/>
      <c r="M12" s="59"/>
      <c r="N12" s="143"/>
      <c r="O12" s="143"/>
      <c r="P12" s="59"/>
      <c r="Q12" s="59"/>
      <c r="R12" s="59"/>
      <c r="S12" s="59"/>
      <c r="T12" s="59"/>
      <c r="U12" s="144"/>
      <c r="V12" s="145"/>
    </row>
    <row r="13" ht="22.5" hidden="1" customHeight="1">
      <c r="A13" s="46"/>
      <c r="B13" s="66"/>
      <c r="E13" s="108"/>
      <c r="F13" s="58"/>
      <c r="G13" s="59"/>
      <c r="H13" s="60"/>
      <c r="I13" s="142"/>
      <c r="J13" s="142"/>
      <c r="K13" s="59"/>
      <c r="L13" s="59"/>
      <c r="M13" s="59"/>
      <c r="N13" s="143"/>
      <c r="O13" s="143"/>
      <c r="P13" s="59"/>
      <c r="Q13" s="59"/>
      <c r="R13" s="59"/>
      <c r="S13" s="59"/>
      <c r="T13" s="59"/>
      <c r="U13" s="144"/>
      <c r="V13" s="145"/>
    </row>
    <row r="14" ht="22.5" hidden="1" customHeight="1">
      <c r="A14" s="46"/>
      <c r="B14" s="66"/>
      <c r="E14" s="108"/>
      <c r="F14" s="58"/>
      <c r="G14" s="59"/>
      <c r="H14" s="60"/>
      <c r="I14" s="142"/>
      <c r="J14" s="142"/>
      <c r="K14" s="59"/>
      <c r="L14" s="59"/>
      <c r="M14" s="59"/>
      <c r="N14" s="143"/>
      <c r="O14" s="143"/>
      <c r="P14" s="59"/>
      <c r="Q14" s="59"/>
      <c r="R14" s="59"/>
      <c r="S14" s="59"/>
      <c r="T14" s="59"/>
      <c r="U14" s="144"/>
      <c r="V14" s="145"/>
    </row>
    <row r="15" ht="22.5" hidden="1" customHeight="1">
      <c r="A15" s="46"/>
      <c r="B15" s="66"/>
      <c r="E15" s="108"/>
      <c r="F15" s="58"/>
      <c r="G15" s="59"/>
      <c r="H15" s="60"/>
      <c r="I15" s="142"/>
      <c r="J15" s="142"/>
      <c r="K15" s="59"/>
      <c r="L15" s="59"/>
      <c r="M15" s="59"/>
      <c r="N15" s="143"/>
      <c r="O15" s="143"/>
      <c r="P15" s="59"/>
      <c r="Q15" s="59"/>
      <c r="R15" s="59"/>
      <c r="S15" s="59"/>
      <c r="T15" s="59"/>
      <c r="U15" s="144"/>
      <c r="V15" s="145"/>
    </row>
    <row r="16" ht="22.5" hidden="1" customHeight="1">
      <c r="A16" s="46"/>
      <c r="B16" s="66"/>
      <c r="E16" s="108"/>
      <c r="F16" s="58"/>
      <c r="G16" s="59"/>
      <c r="H16" s="60"/>
      <c r="I16" s="142"/>
      <c r="J16" s="142"/>
      <c r="K16" s="59"/>
      <c r="L16" s="59"/>
      <c r="M16" s="59"/>
      <c r="N16" s="143"/>
      <c r="O16" s="143"/>
      <c r="P16" s="59"/>
      <c r="Q16" s="59"/>
      <c r="R16" s="59"/>
      <c r="S16" s="59"/>
      <c r="T16" s="59"/>
      <c r="U16" s="144"/>
      <c r="V16" s="145"/>
    </row>
    <row r="17" ht="22.5" hidden="1" customHeight="1">
      <c r="A17" s="46"/>
      <c r="B17" s="66"/>
      <c r="E17" s="108"/>
      <c r="F17" s="58"/>
      <c r="G17" s="59"/>
      <c r="H17" s="60"/>
      <c r="I17" s="142"/>
      <c r="J17" s="142"/>
      <c r="K17" s="59"/>
      <c r="L17" s="59"/>
      <c r="M17" s="59"/>
      <c r="N17" s="143"/>
      <c r="O17" s="143"/>
      <c r="P17" s="59"/>
      <c r="Q17" s="59"/>
      <c r="R17" s="59"/>
      <c r="S17" s="59"/>
      <c r="T17" s="59"/>
      <c r="U17" s="144"/>
      <c r="V17" s="145"/>
    </row>
    <row r="18" ht="22.5" customHeight="1">
      <c r="A18" s="146" t="s">
        <v>99</v>
      </c>
      <c r="B18" s="68">
        <f>SUM(F18:F23)</f>
        <v>16</v>
      </c>
      <c r="C18" s="68">
        <f>IF(B18&lt;SUM(I18:I23, J18:J23, K18:K23,L18:L23,M18:M23,N18:N23,O18:O23,P18:P23,Q18:Q23,R18:R23,S18:S23,T18:T23,U18:U23,V18:V23),SUM(I18:I23, J18:J23, K18:K23,L18:L23,M18:M23,N18:N23,O18:O23,P18:P23,Q18:Q23,R18:R23,S18:S23,T18:T23,U18:U23,V18:V23),B18)</f>
        <v>20</v>
      </c>
      <c r="D18" s="69">
        <f>IF(C18&gt;B18,$C18-(SUM(I18:I23, J18:J23, K18:K23,L18:L23,M18:M23,N18:N23,O18:O23,P18:P23,Q18:Q23,R18:R23,S18:S23,T18:T23,U18:U23,V18:V23)),$B18-(SUM(I18:I23, J18:J23, K18:K23,L18:L23,M18:M23,N18:N23,O18:O23,P18:P23,Q18:Q23,R18:R23,S18:S23,T18:T23,U18:U23,V18:V23)))</f>
        <v>0</v>
      </c>
      <c r="E18" s="147" t="s">
        <v>83</v>
      </c>
      <c r="F18" s="71">
        <v>3.0</v>
      </c>
      <c r="G18" s="72" t="s">
        <v>73</v>
      </c>
      <c r="H18" s="73" t="s">
        <v>74</v>
      </c>
      <c r="I18" s="148">
        <v>1.0</v>
      </c>
      <c r="J18" s="148"/>
      <c r="K18" s="59"/>
      <c r="L18" s="59"/>
      <c r="M18" s="72">
        <v>1.0</v>
      </c>
      <c r="N18" s="143"/>
      <c r="O18" s="143"/>
      <c r="P18" s="59"/>
      <c r="Q18" s="72">
        <v>1.0</v>
      </c>
      <c r="R18" s="59"/>
      <c r="S18" s="59"/>
      <c r="T18" s="72">
        <v>1.0</v>
      </c>
      <c r="U18" s="144"/>
      <c r="V18" s="145"/>
    </row>
    <row r="19" ht="22.5" customHeight="1">
      <c r="A19" s="76"/>
      <c r="B19" s="76"/>
      <c r="C19" s="76"/>
      <c r="D19" s="77"/>
      <c r="E19" s="147" t="s">
        <v>100</v>
      </c>
      <c r="F19" s="71">
        <v>3.0</v>
      </c>
      <c r="G19" s="72" t="s">
        <v>76</v>
      </c>
      <c r="H19" s="73" t="s">
        <v>74</v>
      </c>
      <c r="I19" s="142"/>
      <c r="J19" s="149"/>
      <c r="K19" s="72">
        <v>1.0</v>
      </c>
      <c r="L19" s="59"/>
      <c r="M19" s="59"/>
      <c r="N19" s="143"/>
      <c r="O19" s="143"/>
      <c r="P19" s="72">
        <v>1.0</v>
      </c>
      <c r="Q19" s="59"/>
      <c r="R19" s="59"/>
      <c r="S19" s="72">
        <v>1.0</v>
      </c>
      <c r="T19" s="59"/>
      <c r="U19" s="144"/>
      <c r="V19" s="145"/>
    </row>
    <row r="20" ht="22.5" customHeight="1">
      <c r="A20" s="76"/>
      <c r="B20" s="76"/>
      <c r="C20" s="76"/>
      <c r="D20" s="77"/>
      <c r="E20" s="147" t="s">
        <v>101</v>
      </c>
      <c r="F20" s="71">
        <v>2.0</v>
      </c>
      <c r="G20" s="72" t="s">
        <v>78</v>
      </c>
      <c r="H20" s="73" t="s">
        <v>74</v>
      </c>
      <c r="I20" s="142"/>
      <c r="J20" s="142"/>
      <c r="K20" s="59"/>
      <c r="L20" s="72">
        <v>1.0</v>
      </c>
      <c r="M20" s="114"/>
      <c r="N20" s="143"/>
      <c r="O20" s="143"/>
      <c r="P20" s="59"/>
      <c r="Q20" s="72">
        <v>1.0</v>
      </c>
      <c r="R20" s="59"/>
      <c r="S20" s="59"/>
      <c r="T20" s="59"/>
      <c r="U20" s="144"/>
      <c r="V20" s="145"/>
    </row>
    <row r="21" ht="22.5" customHeight="1">
      <c r="A21" s="76"/>
      <c r="B21" s="76"/>
      <c r="C21" s="76"/>
      <c r="D21" s="77"/>
      <c r="E21" s="147" t="s">
        <v>102</v>
      </c>
      <c r="F21" s="71">
        <v>4.0</v>
      </c>
      <c r="G21" s="72" t="s">
        <v>73</v>
      </c>
      <c r="H21" s="73" t="s">
        <v>74</v>
      </c>
      <c r="I21" s="142"/>
      <c r="J21" s="148">
        <v>2.0</v>
      </c>
      <c r="K21" s="59"/>
      <c r="L21" s="114"/>
      <c r="M21" s="114"/>
      <c r="N21" s="143"/>
      <c r="O21" s="143"/>
      <c r="P21" s="72">
        <v>1.0</v>
      </c>
      <c r="Q21" s="59"/>
      <c r="R21" s="59"/>
      <c r="S21" s="72">
        <v>2.0</v>
      </c>
      <c r="T21" s="59"/>
      <c r="U21" s="144"/>
      <c r="V21" s="145"/>
    </row>
    <row r="22" ht="22.5" customHeight="1">
      <c r="A22" s="76"/>
      <c r="B22" s="76"/>
      <c r="C22" s="76"/>
      <c r="D22" s="77"/>
      <c r="E22" s="147" t="s">
        <v>103</v>
      </c>
      <c r="F22" s="71">
        <v>2.0</v>
      </c>
      <c r="G22" s="72" t="s">
        <v>76</v>
      </c>
      <c r="H22" s="73" t="s">
        <v>74</v>
      </c>
      <c r="I22" s="142"/>
      <c r="J22" s="142"/>
      <c r="K22" s="72">
        <v>1.0</v>
      </c>
      <c r="L22" s="59"/>
      <c r="M22" s="59"/>
      <c r="N22" s="143"/>
      <c r="O22" s="143"/>
      <c r="P22" s="114"/>
      <c r="Q22" s="59"/>
      <c r="R22" s="72">
        <v>1.0</v>
      </c>
      <c r="S22" s="59"/>
      <c r="T22" s="72">
        <v>1.0</v>
      </c>
      <c r="U22" s="144"/>
      <c r="V22" s="145"/>
    </row>
    <row r="23" ht="22.5" customHeight="1">
      <c r="A23" s="80"/>
      <c r="B23" s="80"/>
      <c r="C23" s="80"/>
      <c r="D23" s="81"/>
      <c r="E23" s="147" t="s">
        <v>104</v>
      </c>
      <c r="F23" s="82">
        <v>2.0</v>
      </c>
      <c r="G23" s="72" t="s">
        <v>78</v>
      </c>
      <c r="H23" s="73" t="s">
        <v>74</v>
      </c>
      <c r="I23" s="148">
        <v>1.0</v>
      </c>
      <c r="J23" s="142"/>
      <c r="K23" s="59"/>
      <c r="L23" s="59"/>
      <c r="M23" s="59"/>
      <c r="N23" s="143"/>
      <c r="O23" s="143"/>
      <c r="P23" s="72">
        <v>1.0</v>
      </c>
      <c r="Q23" s="59"/>
      <c r="R23" s="59"/>
      <c r="S23" s="72">
        <v>1.0</v>
      </c>
      <c r="T23" s="59"/>
      <c r="U23" s="144"/>
      <c r="V23" s="145"/>
    </row>
    <row r="24" ht="22.5" customHeight="1">
      <c r="A24" s="146" t="s">
        <v>105</v>
      </c>
      <c r="B24" s="68">
        <f>SUM(F24:F26)</f>
        <v>11</v>
      </c>
      <c r="C24" s="68">
        <f>IF(B24&lt;SUM(I24:I26, J24:J26, K24:K26,L24:L26,M24:M26,N24:N26,O24:O26,P24:P26,Q24:Q26,R24:R26,S24:S26,T24:T26,U24:U26,V24:V26),SUM(I24:I26, J24:J26, K24:K26,L24:L26,M24:M26,N24:N26,O24:O26,P24:P26,Q24:Q26,R24:R26,S24:S26,T24:T26,U24:U26,V24:V26),B24)</f>
        <v>11</v>
      </c>
      <c r="D24" s="69">
        <f>IF(C24&gt;B24,$C24-(SUM(I24:I26, J24:J26, K24:K26,L24:L26,M24:M26,N24:N26,O24:O26,P24:P26,Q24:Q26,R24:R26,S24:S26,T24:T26,U24:U26,V24:V26)),$B24-(SUM(I24:I26, J24:J26, K24:K26,L24:L26,M24:M26,N24:N26,O24:O26,P24:P26,Q24:Q26,R24:R26,S24:S26,T24:T26,U24:U26,V24:V26)))</f>
        <v>0</v>
      </c>
      <c r="E24" s="147" t="s">
        <v>87</v>
      </c>
      <c r="F24" s="71">
        <v>3.0</v>
      </c>
      <c r="G24" s="72" t="s">
        <v>78</v>
      </c>
      <c r="H24" s="73" t="s">
        <v>74</v>
      </c>
      <c r="I24" s="142"/>
      <c r="J24" s="148">
        <v>1.0</v>
      </c>
      <c r="K24" s="59"/>
      <c r="L24" s="114"/>
      <c r="M24" s="72">
        <v>1.0</v>
      </c>
      <c r="N24" s="143"/>
      <c r="O24" s="143"/>
      <c r="P24" s="59"/>
      <c r="Q24" s="59"/>
      <c r="R24" s="72">
        <v>1.0</v>
      </c>
      <c r="S24" s="59"/>
      <c r="T24" s="59"/>
      <c r="U24" s="144"/>
      <c r="V24" s="145"/>
    </row>
    <row r="25" ht="22.5" customHeight="1">
      <c r="A25" s="76"/>
      <c r="B25" s="76"/>
      <c r="C25" s="76"/>
      <c r="D25" s="77"/>
      <c r="E25" s="147" t="s">
        <v>106</v>
      </c>
      <c r="F25" s="71">
        <v>5.0</v>
      </c>
      <c r="G25" s="72" t="s">
        <v>76</v>
      </c>
      <c r="H25" s="73" t="s">
        <v>74</v>
      </c>
      <c r="I25" s="148"/>
      <c r="J25" s="148"/>
      <c r="K25" s="72">
        <v>1.0</v>
      </c>
      <c r="L25" s="59"/>
      <c r="M25" s="72">
        <v>2.0</v>
      </c>
      <c r="N25" s="143"/>
      <c r="O25" s="143"/>
      <c r="P25" s="59"/>
      <c r="Q25" s="72">
        <v>1.0</v>
      </c>
      <c r="R25" s="59"/>
      <c r="S25" s="72">
        <v>1.0</v>
      </c>
      <c r="T25" s="59"/>
      <c r="U25" s="144"/>
      <c r="V25" s="145"/>
    </row>
    <row r="26" ht="22.5" customHeight="1">
      <c r="A26" s="80"/>
      <c r="B26" s="80"/>
      <c r="C26" s="80"/>
      <c r="D26" s="81"/>
      <c r="E26" s="147" t="s">
        <v>107</v>
      </c>
      <c r="F26" s="82">
        <v>3.0</v>
      </c>
      <c r="G26" s="72" t="s">
        <v>73</v>
      </c>
      <c r="H26" s="73" t="s">
        <v>74</v>
      </c>
      <c r="I26" s="142"/>
      <c r="J26" s="148">
        <v>1.0</v>
      </c>
      <c r="K26" s="59"/>
      <c r="L26" s="59"/>
      <c r="M26" s="72">
        <v>1.0</v>
      </c>
      <c r="N26" s="150"/>
      <c r="O26" s="143"/>
      <c r="P26" s="72">
        <v>1.0</v>
      </c>
      <c r="Q26" s="59"/>
      <c r="R26" s="59"/>
      <c r="S26" s="59"/>
      <c r="T26" s="59"/>
      <c r="U26" s="144"/>
      <c r="V26" s="145"/>
    </row>
    <row r="27" ht="22.5" customHeight="1">
      <c r="A27" s="146" t="s">
        <v>108</v>
      </c>
      <c r="B27" s="68">
        <f>SUM(F27:F30)</f>
        <v>11</v>
      </c>
      <c r="C27" s="68">
        <f>IF(B27&lt;SUM(I27:I30, J27:J30, K27:K30,L27:L30,M27:M30,N27:N30,O27:O30,P27:P30,Q27:Q30,R27:R30,S27:S30,T27:T30,U27:U30,V27:V30),SUM(I27:I30, J27:J30, K27:K30,L27:L30,M27:M30,N27:N30,O27:O30,P27:P30,Q27:Q30,R27:R30,S27:S30,T27:T30,U27:U30,V27:V30),B27)</f>
        <v>11</v>
      </c>
      <c r="D27" s="69">
        <f>IF(C27&gt;B27,$C27-(SUM(I27:I30, J27:J30, K27:K30,L27:L30,M27:M30,N27:N30,O27:O30,P27:P30,Q27:Q30,R27:R30,S27:S30,T27:T30,U27:U30,V27:V30)),$B27-(SUM(I27:I30, J27:J30, K27:K30,L27:L30,M27:M30,N27:N30,O27:O30,P27:P30,Q27:Q30,R27:R30,S27:S30,T27:T30,U27:U30,V27:V30)))</f>
        <v>0</v>
      </c>
      <c r="E27" s="147" t="s">
        <v>109</v>
      </c>
      <c r="F27" s="71">
        <v>3.0</v>
      </c>
      <c r="G27" s="72" t="s">
        <v>73</v>
      </c>
      <c r="H27" s="73" t="s">
        <v>74</v>
      </c>
      <c r="I27" s="142"/>
      <c r="J27" s="142"/>
      <c r="K27" s="72">
        <v>1.0</v>
      </c>
      <c r="L27" s="59"/>
      <c r="M27" s="59"/>
      <c r="N27" s="143"/>
      <c r="O27" s="143"/>
      <c r="P27" s="59"/>
      <c r="Q27" s="59"/>
      <c r="R27" s="72">
        <v>1.0</v>
      </c>
      <c r="S27" s="59"/>
      <c r="T27" s="59"/>
      <c r="U27" s="144"/>
      <c r="V27" s="145"/>
    </row>
    <row r="28" ht="22.5" customHeight="1">
      <c r="A28" s="76"/>
      <c r="B28" s="76"/>
      <c r="C28" s="76"/>
      <c r="D28" s="77"/>
      <c r="E28" s="147" t="s">
        <v>110</v>
      </c>
      <c r="F28" s="71">
        <v>3.0</v>
      </c>
      <c r="G28" s="72" t="s">
        <v>76</v>
      </c>
      <c r="H28" s="73" t="s">
        <v>74</v>
      </c>
      <c r="I28" s="148"/>
      <c r="J28" s="142"/>
      <c r="K28" s="59"/>
      <c r="L28" s="72">
        <v>1.0</v>
      </c>
      <c r="M28" s="59"/>
      <c r="N28" s="143"/>
      <c r="O28" s="143"/>
      <c r="P28" s="72">
        <v>1.0</v>
      </c>
      <c r="Q28" s="59"/>
      <c r="R28" s="59"/>
      <c r="S28" s="59"/>
      <c r="T28" s="72">
        <v>1.0</v>
      </c>
      <c r="U28" s="144"/>
      <c r="V28" s="145"/>
    </row>
    <row r="29" ht="22.5" customHeight="1">
      <c r="A29" s="76"/>
      <c r="B29" s="76"/>
      <c r="C29" s="76"/>
      <c r="D29" s="77"/>
      <c r="E29" s="147" t="s">
        <v>111</v>
      </c>
      <c r="F29" s="71">
        <v>2.0</v>
      </c>
      <c r="G29" s="72" t="s">
        <v>73</v>
      </c>
      <c r="H29" s="73" t="s">
        <v>74</v>
      </c>
      <c r="I29" s="142"/>
      <c r="J29" s="148">
        <v>1.0</v>
      </c>
      <c r="K29" s="149"/>
      <c r="L29" s="149"/>
      <c r="M29" s="149"/>
      <c r="N29" s="143"/>
      <c r="O29" s="143"/>
      <c r="P29" s="72"/>
      <c r="Q29" s="72">
        <v>1.0</v>
      </c>
      <c r="R29" s="59"/>
      <c r="S29" s="59"/>
      <c r="T29" s="59"/>
      <c r="U29" s="144"/>
      <c r="V29" s="145"/>
    </row>
    <row r="30" ht="22.5" customHeight="1">
      <c r="A30" s="80"/>
      <c r="B30" s="80"/>
      <c r="C30" s="80"/>
      <c r="D30" s="81"/>
      <c r="E30" s="151" t="s">
        <v>112</v>
      </c>
      <c r="F30" s="152">
        <v>3.0</v>
      </c>
      <c r="G30" s="86" t="s">
        <v>78</v>
      </c>
      <c r="H30" s="87" t="s">
        <v>74</v>
      </c>
      <c r="I30" s="153"/>
      <c r="J30" s="153"/>
      <c r="K30" s="86">
        <v>1.0</v>
      </c>
      <c r="L30" s="154"/>
      <c r="M30" s="154"/>
      <c r="N30" s="155"/>
      <c r="O30" s="155"/>
      <c r="P30" s="86">
        <v>2.0</v>
      </c>
      <c r="Q30" s="154"/>
      <c r="R30" s="86"/>
      <c r="S30" s="86">
        <v>1.0</v>
      </c>
      <c r="T30" s="154"/>
      <c r="U30" s="156"/>
      <c r="V30" s="157"/>
    </row>
    <row r="31" ht="22.5" customHeight="1">
      <c r="A31" s="95" t="s">
        <v>91</v>
      </c>
      <c r="B31" s="96">
        <f t="shared" ref="B31:D31" si="2">SUM(B3:B30)</f>
        <v>38</v>
      </c>
      <c r="C31" s="97">
        <f t="shared" si="2"/>
        <v>42</v>
      </c>
      <c r="D31" s="97">
        <f t="shared" si="2"/>
        <v>0</v>
      </c>
      <c r="E31" s="98"/>
      <c r="F31" s="99"/>
      <c r="G31" s="100"/>
      <c r="H31" s="101"/>
      <c r="I31" s="158">
        <f t="shared" ref="I31:V31" si="3">SUM(I3:I30)</f>
        <v>2</v>
      </c>
      <c r="J31" s="158">
        <f t="shared" si="3"/>
        <v>5</v>
      </c>
      <c r="K31" s="158">
        <f t="shared" si="3"/>
        <v>5</v>
      </c>
      <c r="L31" s="158">
        <f t="shared" si="3"/>
        <v>2</v>
      </c>
      <c r="M31" s="158">
        <f t="shared" si="3"/>
        <v>5</v>
      </c>
      <c r="N31" s="158">
        <f t="shared" si="3"/>
        <v>0</v>
      </c>
      <c r="O31" s="158">
        <f t="shared" si="3"/>
        <v>0</v>
      </c>
      <c r="P31" s="158">
        <f t="shared" si="3"/>
        <v>7</v>
      </c>
      <c r="Q31" s="158">
        <f t="shared" si="3"/>
        <v>4</v>
      </c>
      <c r="R31" s="158">
        <f t="shared" si="3"/>
        <v>3</v>
      </c>
      <c r="S31" s="158">
        <f t="shared" si="3"/>
        <v>6</v>
      </c>
      <c r="T31" s="158">
        <f t="shared" si="3"/>
        <v>3</v>
      </c>
      <c r="U31" s="158">
        <f t="shared" si="3"/>
        <v>0</v>
      </c>
      <c r="V31" s="159">
        <f t="shared" si="3"/>
        <v>0</v>
      </c>
    </row>
    <row r="32">
      <c r="A32" s="104" t="s">
        <v>92</v>
      </c>
      <c r="B32" s="105">
        <f>B31-SUM(I32:V32)</f>
        <v>38</v>
      </c>
      <c r="C32" s="106">
        <f>B32/B31</f>
        <v>1</v>
      </c>
      <c r="D32" s="107"/>
      <c r="E32" s="108"/>
      <c r="F32" s="58"/>
      <c r="G32" s="59"/>
      <c r="H32" s="60"/>
      <c r="I32" s="160">
        <f>SUM('Team members'!$B:$B)</f>
        <v>0</v>
      </c>
      <c r="J32" s="161">
        <f>SUM('Team members'!$B:$B)</f>
        <v>0</v>
      </c>
      <c r="K32" s="161">
        <f>SUM('Team members'!$B:$B)</f>
        <v>0</v>
      </c>
      <c r="L32" s="161">
        <f>SUM('Team members'!$B:$B)</f>
        <v>0</v>
      </c>
      <c r="M32" s="161">
        <f>SUM('Team members'!$B:$B)</f>
        <v>0</v>
      </c>
      <c r="N32" s="162">
        <v>0.0</v>
      </c>
      <c r="O32" s="162">
        <v>0.0</v>
      </c>
      <c r="P32" s="161">
        <f>SUM('Team members'!$B:$B)</f>
        <v>0</v>
      </c>
      <c r="Q32" s="161">
        <f>SUM('Team members'!$B:$B)</f>
        <v>0</v>
      </c>
      <c r="R32" s="161">
        <f>SUM('Team members'!$B:$B)</f>
        <v>0</v>
      </c>
      <c r="S32" s="161">
        <f>SUM('Team members'!$B:$B)</f>
        <v>0</v>
      </c>
      <c r="T32" s="161">
        <f>SUM('Team members'!$B:$B)</f>
        <v>0</v>
      </c>
      <c r="U32" s="162">
        <v>0.0</v>
      </c>
      <c r="V32" s="163">
        <v>0.0</v>
      </c>
    </row>
    <row r="33">
      <c r="A33" s="164" t="s">
        <v>93</v>
      </c>
      <c r="B33" s="107"/>
      <c r="C33" s="107"/>
      <c r="D33" s="107"/>
      <c r="E33" s="108"/>
      <c r="F33" s="58"/>
      <c r="G33" s="114" t="s">
        <v>94</v>
      </c>
      <c r="H33" s="115">
        <f>B31</f>
        <v>38</v>
      </c>
      <c r="I33" s="165">
        <f t="shared" ref="I33:V33" si="4">MAX(H33-I32,0)</f>
        <v>38</v>
      </c>
      <c r="J33" s="165">
        <f t="shared" si="4"/>
        <v>38</v>
      </c>
      <c r="K33" s="165">
        <f t="shared" si="4"/>
        <v>38</v>
      </c>
      <c r="L33" s="165">
        <f t="shared" si="4"/>
        <v>38</v>
      </c>
      <c r="M33" s="165">
        <f t="shared" si="4"/>
        <v>38</v>
      </c>
      <c r="N33" s="165">
        <f t="shared" si="4"/>
        <v>38</v>
      </c>
      <c r="O33" s="165">
        <f t="shared" si="4"/>
        <v>38</v>
      </c>
      <c r="P33" s="165">
        <f t="shared" si="4"/>
        <v>38</v>
      </c>
      <c r="Q33" s="165">
        <f t="shared" si="4"/>
        <v>38</v>
      </c>
      <c r="R33" s="165">
        <f t="shared" si="4"/>
        <v>38</v>
      </c>
      <c r="S33" s="165">
        <f t="shared" si="4"/>
        <v>38</v>
      </c>
      <c r="T33" s="165">
        <f t="shared" si="4"/>
        <v>38</v>
      </c>
      <c r="U33" s="165">
        <f t="shared" si="4"/>
        <v>38</v>
      </c>
      <c r="V33" s="165">
        <f t="shared" si="4"/>
        <v>38</v>
      </c>
    </row>
    <row r="34">
      <c r="A34" s="166" t="s">
        <v>95</v>
      </c>
      <c r="B34" s="118"/>
      <c r="C34" s="118"/>
      <c r="D34" s="118"/>
      <c r="E34" s="119"/>
      <c r="F34" s="120"/>
      <c r="G34" s="121" t="s">
        <v>96</v>
      </c>
      <c r="H34" s="122">
        <f>C31</f>
        <v>42</v>
      </c>
      <c r="I34" s="167">
        <f t="shared" ref="I34:V34" si="5">H34-I31</f>
        <v>40</v>
      </c>
      <c r="J34" s="167">
        <f t="shared" si="5"/>
        <v>35</v>
      </c>
      <c r="K34" s="167">
        <f t="shared" si="5"/>
        <v>30</v>
      </c>
      <c r="L34" s="167">
        <f t="shared" si="5"/>
        <v>28</v>
      </c>
      <c r="M34" s="167">
        <f t="shared" si="5"/>
        <v>23</v>
      </c>
      <c r="N34" s="167">
        <f t="shared" si="5"/>
        <v>23</v>
      </c>
      <c r="O34" s="167">
        <f t="shared" si="5"/>
        <v>23</v>
      </c>
      <c r="P34" s="167">
        <f t="shared" si="5"/>
        <v>16</v>
      </c>
      <c r="Q34" s="167">
        <f t="shared" si="5"/>
        <v>12</v>
      </c>
      <c r="R34" s="167">
        <f t="shared" si="5"/>
        <v>9</v>
      </c>
      <c r="S34" s="167">
        <f t="shared" si="5"/>
        <v>3</v>
      </c>
      <c r="T34" s="167">
        <f t="shared" si="5"/>
        <v>0</v>
      </c>
      <c r="U34" s="167">
        <f t="shared" si="5"/>
        <v>0</v>
      </c>
      <c r="V34" s="168">
        <f t="shared" si="5"/>
        <v>0</v>
      </c>
    </row>
    <row r="35">
      <c r="A35" s="125"/>
      <c r="B35" s="126"/>
      <c r="C35" s="126"/>
      <c r="D35" s="126"/>
      <c r="E35" s="127"/>
      <c r="F35" s="128"/>
      <c r="G35" s="129"/>
      <c r="H35" s="130"/>
      <c r="I35" s="131"/>
      <c r="J35" s="132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</row>
    <row r="36">
      <c r="A36" s="134" t="s">
        <v>97</v>
      </c>
      <c r="B36" s="135">
        <v>31.0</v>
      </c>
      <c r="C36" s="136"/>
      <c r="D36" s="136"/>
      <c r="E36" s="108"/>
      <c r="F36" s="58"/>
      <c r="G36" s="59"/>
      <c r="H36" s="137"/>
      <c r="I36" s="138"/>
      <c r="J36" s="41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ht="17.25" customHeight="1">
      <c r="A37" s="39"/>
      <c r="B37" s="107"/>
      <c r="C37" s="107"/>
      <c r="D37" s="107"/>
      <c r="E37" s="108"/>
      <c r="F37" s="58"/>
      <c r="G37" s="59"/>
      <c r="H37" s="137"/>
      <c r="I37" s="138"/>
      <c r="J37" s="41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ht="17.25" customHeight="1">
      <c r="A38" s="39"/>
      <c r="B38" s="107"/>
      <c r="C38" s="107"/>
      <c r="D38" s="107"/>
      <c r="E38" s="108"/>
      <c r="F38" s="58"/>
      <c r="G38" s="59"/>
      <c r="H38" s="137"/>
      <c r="I38" s="138"/>
      <c r="J38" s="41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>
      <c r="A39" s="39"/>
      <c r="B39" s="107"/>
      <c r="C39" s="107"/>
      <c r="D39" s="107"/>
      <c r="E39" s="108"/>
      <c r="F39" s="58"/>
      <c r="G39" s="59"/>
      <c r="H39" s="137"/>
      <c r="I39" s="138"/>
      <c r="J39" s="41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>
      <c r="A40" s="39"/>
      <c r="B40" s="107"/>
      <c r="C40" s="107"/>
      <c r="D40" s="107"/>
      <c r="E40" s="108"/>
      <c r="F40" s="58"/>
      <c r="G40" s="59"/>
      <c r="H40" s="137"/>
      <c r="I40" s="138"/>
      <c r="J40" s="41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>
      <c r="A41" s="39"/>
      <c r="B41" s="107"/>
      <c r="C41" s="107"/>
      <c r="D41" s="107"/>
      <c r="E41" s="108"/>
      <c r="F41" s="58"/>
      <c r="G41" s="59"/>
      <c r="H41" s="137"/>
      <c r="I41" s="138"/>
      <c r="J41" s="41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>
      <c r="A42" s="39"/>
      <c r="B42" s="107"/>
      <c r="C42" s="107"/>
      <c r="D42" s="107"/>
      <c r="E42" s="108"/>
      <c r="F42" s="58"/>
      <c r="G42" s="59"/>
      <c r="H42" s="137"/>
      <c r="I42" s="138"/>
      <c r="J42" s="41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>
      <c r="A43" s="39"/>
      <c r="B43" s="107"/>
      <c r="C43" s="107"/>
      <c r="D43" s="107"/>
      <c r="E43" s="108"/>
      <c r="F43" s="58"/>
      <c r="G43" s="59"/>
      <c r="H43" s="137"/>
      <c r="I43" s="138"/>
      <c r="J43" s="41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>
      <c r="A44" s="39"/>
      <c r="B44" s="107"/>
      <c r="C44" s="107"/>
      <c r="D44" s="107"/>
      <c r="E44" s="108"/>
      <c r="F44" s="58"/>
      <c r="G44" s="59"/>
      <c r="H44" s="137"/>
      <c r="I44" s="138"/>
      <c r="J44" s="41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>
      <c r="A45" s="39"/>
      <c r="B45" s="107"/>
      <c r="C45" s="107"/>
      <c r="D45" s="107"/>
      <c r="E45" s="108"/>
      <c r="F45" s="58"/>
      <c r="G45" s="59"/>
      <c r="H45" s="137"/>
      <c r="I45" s="138"/>
      <c r="J45" s="41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>
      <c r="A46" s="39"/>
      <c r="B46" s="107"/>
      <c r="C46" s="107"/>
      <c r="D46" s="107"/>
      <c r="E46" s="108"/>
      <c r="F46" s="58"/>
      <c r="G46" s="59"/>
      <c r="H46" s="137"/>
      <c r="I46" s="138"/>
      <c r="J46" s="41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>
      <c r="A47" s="39"/>
      <c r="B47" s="107"/>
      <c r="C47" s="107"/>
      <c r="D47" s="107"/>
      <c r="E47" s="108"/>
      <c r="F47" s="58"/>
      <c r="G47" s="59"/>
      <c r="H47" s="137"/>
      <c r="I47" s="138"/>
      <c r="J47" s="41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>
      <c r="A48" s="39"/>
      <c r="B48" s="107"/>
      <c r="C48" s="107"/>
      <c r="D48" s="107"/>
      <c r="E48" s="108"/>
      <c r="F48" s="58"/>
      <c r="G48" s="59"/>
      <c r="H48" s="137"/>
      <c r="I48" s="138"/>
      <c r="J48" s="41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>
      <c r="A49" s="39"/>
      <c r="B49" s="107"/>
      <c r="C49" s="107"/>
      <c r="D49" s="107"/>
      <c r="E49" s="108"/>
      <c r="F49" s="58"/>
      <c r="G49" s="59"/>
      <c r="H49" s="137"/>
      <c r="I49" s="138"/>
      <c r="J49" s="41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>
      <c r="A50" s="39"/>
      <c r="B50" s="107"/>
      <c r="C50" s="107"/>
      <c r="D50" s="107"/>
      <c r="E50" s="108"/>
      <c r="F50" s="58"/>
      <c r="G50" s="59"/>
      <c r="H50" s="137"/>
      <c r="I50" s="138"/>
      <c r="J50" s="41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>
      <c r="A51" s="39"/>
      <c r="B51" s="107"/>
      <c r="C51" s="107"/>
      <c r="D51" s="107"/>
      <c r="E51" s="108"/>
      <c r="F51" s="58"/>
      <c r="G51" s="59"/>
      <c r="H51" s="137"/>
      <c r="I51" s="138"/>
      <c r="J51" s="41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>
      <c r="A52" s="39"/>
      <c r="B52" s="107"/>
      <c r="C52" s="107"/>
      <c r="D52" s="107"/>
      <c r="E52" s="108"/>
      <c r="F52" s="58"/>
      <c r="G52" s="59"/>
      <c r="H52" s="137"/>
      <c r="I52" s="138"/>
      <c r="J52" s="41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>
      <c r="A53" s="39"/>
      <c r="B53" s="107"/>
      <c r="C53" s="107"/>
      <c r="D53" s="107"/>
      <c r="E53" s="108"/>
      <c r="F53" s="58"/>
      <c r="G53" s="59"/>
      <c r="H53" s="137"/>
      <c r="I53" s="138"/>
      <c r="J53" s="41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>
      <c r="A54" s="39"/>
      <c r="B54" s="107"/>
      <c r="C54" s="107"/>
      <c r="D54" s="107"/>
      <c r="E54" s="108"/>
      <c r="F54" s="58"/>
      <c r="G54" s="59"/>
      <c r="H54" s="137"/>
      <c r="I54" s="138"/>
      <c r="J54" s="41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>
      <c r="A55" s="39"/>
      <c r="B55" s="107"/>
      <c r="C55" s="107"/>
      <c r="D55" s="107"/>
      <c r="E55" s="108"/>
      <c r="F55" s="58"/>
      <c r="G55" s="59"/>
      <c r="H55" s="137"/>
      <c r="I55" s="138"/>
      <c r="J55" s="41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>
      <c r="A56" s="39"/>
      <c r="B56" s="107"/>
      <c r="C56" s="107"/>
      <c r="D56" s="107"/>
      <c r="E56" s="108"/>
      <c r="F56" s="58"/>
      <c r="G56" s="59"/>
      <c r="H56" s="137"/>
      <c r="I56" s="138"/>
      <c r="J56" s="41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>
      <c r="A57" s="39"/>
      <c r="B57" s="107"/>
      <c r="C57" s="107"/>
      <c r="D57" s="107"/>
      <c r="E57" s="108"/>
      <c r="F57" s="58"/>
      <c r="G57" s="59"/>
      <c r="H57" s="137"/>
      <c r="I57" s="138"/>
      <c r="J57" s="41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>
      <c r="A58" s="39"/>
      <c r="B58" s="107"/>
      <c r="C58" s="107"/>
      <c r="D58" s="107"/>
      <c r="E58" s="108"/>
      <c r="F58" s="58"/>
      <c r="G58" s="59"/>
      <c r="H58" s="137"/>
      <c r="I58" s="138"/>
      <c r="J58" s="41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>
      <c r="A59" s="39"/>
      <c r="B59" s="107"/>
      <c r="C59" s="107"/>
      <c r="D59" s="107"/>
      <c r="E59" s="108"/>
      <c r="F59" s="58"/>
      <c r="G59" s="59"/>
      <c r="H59" s="137"/>
      <c r="I59" s="138"/>
      <c r="J59" s="41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</row>
    <row r="60">
      <c r="A60" s="39"/>
      <c r="B60" s="107"/>
      <c r="C60" s="107"/>
      <c r="D60" s="107"/>
      <c r="E60" s="108"/>
      <c r="F60" s="58"/>
      <c r="G60" s="59"/>
      <c r="H60" s="137"/>
      <c r="I60" s="138"/>
      <c r="J60" s="41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>
      <c r="A61" s="39"/>
      <c r="B61" s="107"/>
      <c r="C61" s="107"/>
      <c r="D61" s="107"/>
      <c r="E61" s="108"/>
      <c r="F61" s="58"/>
      <c r="G61" s="59"/>
      <c r="H61" s="137"/>
      <c r="I61" s="138"/>
      <c r="J61" s="41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>
      <c r="A62" s="39"/>
      <c r="B62" s="107"/>
      <c r="C62" s="107"/>
      <c r="D62" s="107"/>
      <c r="E62" s="108"/>
      <c r="F62" s="58"/>
      <c r="G62" s="59"/>
      <c r="H62" s="137"/>
      <c r="I62" s="138"/>
      <c r="J62" s="41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>
      <c r="A63" s="39"/>
      <c r="B63" s="107"/>
      <c r="C63" s="107"/>
      <c r="D63" s="107"/>
      <c r="E63" s="108"/>
      <c r="F63" s="58"/>
      <c r="G63" s="59"/>
      <c r="H63" s="137"/>
      <c r="I63" s="138"/>
      <c r="J63" s="41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>
      <c r="A64" s="39"/>
      <c r="B64" s="107"/>
      <c r="C64" s="107"/>
      <c r="D64" s="107"/>
      <c r="E64" s="108"/>
      <c r="F64" s="58"/>
      <c r="G64" s="59"/>
      <c r="H64" s="137"/>
      <c r="I64" s="138"/>
      <c r="J64" s="41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>
      <c r="A65" s="39"/>
      <c r="B65" s="107"/>
      <c r="C65" s="107"/>
      <c r="D65" s="107"/>
      <c r="E65" s="108"/>
      <c r="F65" s="58"/>
      <c r="G65" s="59"/>
      <c r="H65" s="137"/>
      <c r="I65" s="138"/>
      <c r="J65" s="41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>
      <c r="A66" s="39"/>
      <c r="B66" s="107"/>
      <c r="C66" s="107"/>
      <c r="D66" s="107"/>
      <c r="E66" s="108"/>
      <c r="F66" s="58"/>
      <c r="G66" s="59"/>
      <c r="H66" s="137"/>
      <c r="I66" s="138"/>
      <c r="J66" s="41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>
      <c r="A67" s="39"/>
      <c r="B67" s="107"/>
      <c r="C67" s="107"/>
      <c r="D67" s="107"/>
      <c r="E67" s="108"/>
      <c r="F67" s="58"/>
      <c r="G67" s="59"/>
      <c r="H67" s="137"/>
      <c r="I67" s="138"/>
      <c r="J67" s="41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>
      <c r="A68" s="39"/>
      <c r="B68" s="107"/>
      <c r="C68" s="107"/>
      <c r="D68" s="107"/>
      <c r="E68" s="108"/>
      <c r="F68" s="58"/>
      <c r="G68" s="59"/>
      <c r="H68" s="137"/>
      <c r="I68" s="138"/>
      <c r="J68" s="41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>
      <c r="A69" s="39"/>
      <c r="B69" s="107"/>
      <c r="C69" s="107"/>
      <c r="D69" s="107"/>
      <c r="E69" s="108"/>
      <c r="F69" s="58"/>
      <c r="G69" s="59"/>
      <c r="H69" s="137"/>
      <c r="I69" s="138"/>
      <c r="J69" s="41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  <row r="70">
      <c r="A70" s="39"/>
      <c r="B70" s="107"/>
      <c r="C70" s="107"/>
      <c r="D70" s="107"/>
      <c r="E70" s="108"/>
      <c r="F70" s="58"/>
      <c r="G70" s="59"/>
      <c r="H70" s="137"/>
      <c r="I70" s="138"/>
      <c r="J70" s="41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>
      <c r="A71" s="39"/>
      <c r="B71" s="107"/>
      <c r="C71" s="107"/>
      <c r="D71" s="107"/>
      <c r="E71" s="108"/>
      <c r="F71" s="58"/>
      <c r="G71" s="59"/>
      <c r="H71" s="137"/>
      <c r="I71" s="138"/>
      <c r="J71" s="41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</row>
    <row r="72">
      <c r="A72" s="39"/>
      <c r="B72" s="107"/>
      <c r="C72" s="107"/>
      <c r="D72" s="107"/>
      <c r="E72" s="108"/>
      <c r="F72" s="58"/>
      <c r="G72" s="59"/>
      <c r="H72" s="137"/>
      <c r="I72" s="138"/>
      <c r="J72" s="41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</row>
    <row r="73">
      <c r="A73" s="39"/>
      <c r="B73" s="107"/>
      <c r="C73" s="107"/>
      <c r="D73" s="107"/>
      <c r="E73" s="108"/>
      <c r="F73" s="58"/>
      <c r="G73" s="59"/>
      <c r="H73" s="137"/>
      <c r="I73" s="138"/>
      <c r="J73" s="41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</row>
    <row r="74">
      <c r="A74" s="39"/>
      <c r="B74" s="107"/>
      <c r="C74" s="107"/>
      <c r="D74" s="107"/>
      <c r="E74" s="108"/>
      <c r="F74" s="58"/>
      <c r="G74" s="59"/>
      <c r="H74" s="137"/>
      <c r="I74" s="138"/>
      <c r="J74" s="41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</row>
    <row r="75">
      <c r="A75" s="39"/>
      <c r="B75" s="107"/>
      <c r="C75" s="107"/>
      <c r="D75" s="107"/>
      <c r="E75" s="108"/>
      <c r="F75" s="58"/>
      <c r="G75" s="59"/>
      <c r="H75" s="137"/>
      <c r="I75" s="138"/>
      <c r="J75" s="41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</row>
    <row r="76">
      <c r="A76" s="39"/>
      <c r="B76" s="107"/>
      <c r="C76" s="107"/>
      <c r="D76" s="107"/>
      <c r="E76" s="108"/>
      <c r="F76" s="58"/>
      <c r="G76" s="59"/>
      <c r="H76" s="137"/>
      <c r="I76" s="138"/>
      <c r="J76" s="41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</row>
    <row r="77">
      <c r="A77" s="39"/>
      <c r="B77" s="107"/>
      <c r="C77" s="107"/>
      <c r="D77" s="107"/>
      <c r="E77" s="108"/>
      <c r="F77" s="58"/>
      <c r="G77" s="59"/>
      <c r="H77" s="137"/>
      <c r="I77" s="138"/>
      <c r="J77" s="41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</row>
    <row r="78">
      <c r="A78" s="39"/>
      <c r="B78" s="107"/>
      <c r="C78" s="107"/>
      <c r="D78" s="107"/>
      <c r="E78" s="108"/>
      <c r="F78" s="58"/>
      <c r="G78" s="59"/>
      <c r="H78" s="137"/>
      <c r="I78" s="138"/>
      <c r="J78" s="4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</row>
    <row r="79">
      <c r="A79" s="39"/>
      <c r="B79" s="107"/>
      <c r="C79" s="107"/>
      <c r="D79" s="107"/>
      <c r="E79" s="108"/>
      <c r="F79" s="58"/>
      <c r="G79" s="59"/>
      <c r="H79" s="137"/>
      <c r="I79" s="138"/>
      <c r="J79" s="4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</row>
    <row r="80">
      <c r="A80" s="39"/>
      <c r="B80" s="107"/>
      <c r="C80" s="107"/>
      <c r="D80" s="107"/>
      <c r="E80" s="108"/>
      <c r="F80" s="58"/>
      <c r="G80" s="59"/>
      <c r="H80" s="137"/>
      <c r="I80" s="138"/>
      <c r="J80" s="41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</row>
    <row r="81">
      <c r="A81" s="39"/>
      <c r="B81" s="107"/>
      <c r="C81" s="107"/>
      <c r="D81" s="107"/>
      <c r="E81" s="108"/>
      <c r="F81" s="58"/>
      <c r="G81" s="59"/>
      <c r="H81" s="137"/>
      <c r="I81" s="138"/>
      <c r="J81" s="4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</row>
    <row r="82">
      <c r="A82" s="39"/>
      <c r="B82" s="107"/>
      <c r="C82" s="107"/>
      <c r="D82" s="107"/>
      <c r="E82" s="108"/>
      <c r="F82" s="58"/>
      <c r="G82" s="59"/>
      <c r="H82" s="137"/>
      <c r="I82" s="138"/>
      <c r="J82" s="4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</row>
    <row r="83">
      <c r="A83" s="39"/>
      <c r="B83" s="107"/>
      <c r="C83" s="107"/>
      <c r="D83" s="107"/>
      <c r="E83" s="108"/>
      <c r="F83" s="58"/>
      <c r="G83" s="59"/>
      <c r="H83" s="137"/>
      <c r="I83" s="138"/>
      <c r="J83" s="4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</row>
    <row r="84">
      <c r="A84" s="39"/>
      <c r="B84" s="107"/>
      <c r="C84" s="107"/>
      <c r="D84" s="107"/>
      <c r="E84" s="108"/>
      <c r="F84" s="58"/>
      <c r="G84" s="59"/>
      <c r="H84" s="137"/>
      <c r="I84" s="138"/>
      <c r="J84" s="4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</row>
    <row r="85">
      <c r="A85" s="39"/>
      <c r="B85" s="107"/>
      <c r="C85" s="107"/>
      <c r="D85" s="107"/>
      <c r="E85" s="108"/>
      <c r="F85" s="58"/>
      <c r="G85" s="59"/>
      <c r="H85" s="137"/>
      <c r="I85" s="138"/>
      <c r="J85" s="4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</row>
    <row r="86">
      <c r="A86" s="39"/>
      <c r="B86" s="107"/>
      <c r="C86" s="107"/>
      <c r="D86" s="107"/>
      <c r="E86" s="108"/>
      <c r="F86" s="58"/>
      <c r="G86" s="59"/>
      <c r="H86" s="137"/>
      <c r="I86" s="138"/>
      <c r="J86" s="4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</row>
    <row r="87">
      <c r="A87" s="39"/>
      <c r="B87" s="107"/>
      <c r="C87" s="107"/>
      <c r="D87" s="107"/>
      <c r="E87" s="108"/>
      <c r="F87" s="58"/>
      <c r="G87" s="59"/>
      <c r="H87" s="137"/>
      <c r="I87" s="138"/>
      <c r="J87" s="4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</row>
    <row r="88">
      <c r="A88" s="39"/>
      <c r="B88" s="107"/>
      <c r="C88" s="107"/>
      <c r="D88" s="107"/>
      <c r="E88" s="108"/>
      <c r="F88" s="58"/>
      <c r="G88" s="59"/>
      <c r="H88" s="137"/>
      <c r="I88" s="138"/>
      <c r="J88" s="4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</row>
    <row r="89">
      <c r="A89" s="39"/>
      <c r="B89" s="107"/>
      <c r="C89" s="107"/>
      <c r="D89" s="107"/>
      <c r="E89" s="108"/>
      <c r="F89" s="58"/>
      <c r="G89" s="59"/>
      <c r="H89" s="137"/>
      <c r="I89" s="138"/>
      <c r="J89" s="4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>
      <c r="A90" s="39"/>
      <c r="B90" s="107"/>
      <c r="C90" s="107"/>
      <c r="D90" s="107"/>
      <c r="E90" s="108"/>
      <c r="F90" s="58"/>
      <c r="G90" s="59"/>
      <c r="H90" s="137"/>
      <c r="I90" s="138"/>
      <c r="J90" s="4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</row>
    <row r="91">
      <c r="A91" s="39"/>
      <c r="B91" s="107"/>
      <c r="C91" s="107"/>
      <c r="D91" s="107"/>
      <c r="E91" s="108"/>
      <c r="F91" s="58"/>
      <c r="G91" s="59"/>
      <c r="H91" s="137"/>
      <c r="I91" s="138"/>
      <c r="J91" s="4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</sheetData>
  <mergeCells count="18">
    <mergeCell ref="A1:E1"/>
    <mergeCell ref="I1:V1"/>
    <mergeCell ref="A3:A17"/>
    <mergeCell ref="B3:B17"/>
    <mergeCell ref="C3:C17"/>
    <mergeCell ref="D3:D17"/>
    <mergeCell ref="A18:A23"/>
    <mergeCell ref="D18:D23"/>
    <mergeCell ref="B27:B30"/>
    <mergeCell ref="C27:C30"/>
    <mergeCell ref="B18:B23"/>
    <mergeCell ref="C18:C23"/>
    <mergeCell ref="A24:A26"/>
    <mergeCell ref="B24:B26"/>
    <mergeCell ref="C24:C26"/>
    <mergeCell ref="D24:D26"/>
    <mergeCell ref="A27:A30"/>
    <mergeCell ref="D27:D30"/>
  </mergeCells>
  <conditionalFormatting sqref="I1:V1">
    <cfRule type="cellIs" dxfId="0" priority="1" operator="greaterThan">
      <formula>0</formula>
    </cfRule>
  </conditionalFormatting>
  <conditionalFormatting sqref="I3:V30">
    <cfRule type="cellIs" dxfId="0" priority="2" operator="greaterThan">
      <formula>0</formula>
    </cfRule>
  </conditionalFormatting>
  <conditionalFormatting sqref="I35:V91">
    <cfRule type="cellIs" dxfId="0" priority="3" operator="greaterThan">
      <formula>0</formula>
    </cfRule>
  </conditionalFormatting>
  <conditionalFormatting sqref="E6:F6">
    <cfRule type="containsText" dxfId="1" priority="4" operator="containsText" text="Done">
      <formula>NOT(ISERROR(SEARCH(("Done"),(E6))))</formula>
    </cfRule>
  </conditionalFormatting>
  <conditionalFormatting sqref="E25:F25">
    <cfRule type="containsText" dxfId="1" priority="5" operator="containsText" text="Done">
      <formula>NOT(ISERROR(SEARCH(("Done"),(E25))))</formula>
    </cfRule>
  </conditionalFormatting>
  <conditionalFormatting sqref="G6:G17">
    <cfRule type="containsText" dxfId="1" priority="6" operator="containsText" text="Done">
      <formula>NOT(ISERROR(SEARCH(("Done"),(G6))))</formula>
    </cfRule>
  </conditionalFormatting>
  <conditionalFormatting sqref="A33:A34">
    <cfRule type="cellIs" dxfId="2" priority="7" operator="lessThan">
      <formula>1</formula>
    </cfRule>
  </conditionalFormatting>
  <conditionalFormatting sqref="H3:H30">
    <cfRule type="containsText" dxfId="3" priority="8" operator="containsText" text="Done">
      <formula>NOT(ISERROR(SEARCH(("Done"),(H3))))</formula>
    </cfRule>
  </conditionalFormatting>
  <conditionalFormatting sqref="H3:H30">
    <cfRule type="containsText" dxfId="4" priority="9" operator="containsText" text="Blocked">
      <formula>NOT(ISERROR(SEARCH(("Blocked"),(H3))))</formula>
    </cfRule>
  </conditionalFormatting>
  <conditionalFormatting sqref="H3:H30">
    <cfRule type="containsText" dxfId="5" priority="10" operator="containsText" text="Working">
      <formula>NOT(ISERROR(SEARCH(("Working"),(H3))))</formula>
    </cfRule>
  </conditionalFormatting>
  <conditionalFormatting sqref="H18:H30">
    <cfRule type="containsText" dxfId="6" priority="11" operator="containsText" text="Verify">
      <formula>NOT(ISERROR(SEARCH(("Verify"),(H18))))</formula>
    </cfRule>
  </conditionalFormatting>
  <dataValidations>
    <dataValidation type="list" allowBlank="1" showErrorMessage="1" sqref="H3:H30">
      <formula1>'Task statuses'!$A$1:$A$100</formula1>
    </dataValidation>
    <dataValidation type="list" allowBlank="1" showErrorMessage="1" sqref="G3:G30">
      <formula1>'Team members'!$A$1:$A$100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26.88"/>
    <col customWidth="1" min="2" max="4" width="6.38"/>
    <col customWidth="1" min="5" max="5" width="25.13"/>
    <col customWidth="1" min="6" max="6" width="6.38"/>
    <col customWidth="1" min="7" max="7" width="13.13"/>
    <col customWidth="1" min="8" max="8" width="10.38"/>
    <col customWidth="1" min="9" max="22" width="3.88"/>
  </cols>
  <sheetData>
    <row r="1" ht="24.0" customHeight="1">
      <c r="A1" s="139" t="s">
        <v>113</v>
      </c>
      <c r="F1" s="39"/>
      <c r="G1" s="140" t="s">
        <v>62</v>
      </c>
      <c r="H1" s="141">
        <v>46097.0</v>
      </c>
      <c r="I1" s="45" t="s">
        <v>63</v>
      </c>
      <c r="V1" s="46"/>
    </row>
    <row r="2" ht="17.25" customHeight="1">
      <c r="A2" s="47" t="s">
        <v>64</v>
      </c>
      <c r="B2" s="48" t="s">
        <v>65</v>
      </c>
      <c r="C2" s="48" t="s">
        <v>66</v>
      </c>
      <c r="D2" s="48" t="s">
        <v>67</v>
      </c>
      <c r="E2" s="49" t="s">
        <v>68</v>
      </c>
      <c r="F2" s="50" t="s">
        <v>65</v>
      </c>
      <c r="G2" s="51" t="s">
        <v>69</v>
      </c>
      <c r="H2" s="52" t="s">
        <v>70</v>
      </c>
      <c r="I2" s="53">
        <f>H1</f>
        <v>46097</v>
      </c>
      <c r="J2" s="53">
        <f t="shared" ref="J2:V2" si="1">I2+1</f>
        <v>46098</v>
      </c>
      <c r="K2" s="53">
        <f t="shared" si="1"/>
        <v>46099</v>
      </c>
      <c r="L2" s="53">
        <f t="shared" si="1"/>
        <v>46100</v>
      </c>
      <c r="M2" s="53">
        <f t="shared" si="1"/>
        <v>46101</v>
      </c>
      <c r="N2" s="53">
        <f t="shared" si="1"/>
        <v>46102</v>
      </c>
      <c r="O2" s="53">
        <f t="shared" si="1"/>
        <v>46103</v>
      </c>
      <c r="P2" s="53">
        <f t="shared" si="1"/>
        <v>46104</v>
      </c>
      <c r="Q2" s="53">
        <f t="shared" si="1"/>
        <v>46105</v>
      </c>
      <c r="R2" s="53">
        <f t="shared" si="1"/>
        <v>46106</v>
      </c>
      <c r="S2" s="53">
        <f t="shared" si="1"/>
        <v>46107</v>
      </c>
      <c r="T2" s="53">
        <f t="shared" si="1"/>
        <v>46108</v>
      </c>
      <c r="U2" s="53">
        <f t="shared" si="1"/>
        <v>46109</v>
      </c>
      <c r="V2" s="53">
        <f t="shared" si="1"/>
        <v>46110</v>
      </c>
    </row>
    <row r="3" ht="22.5" hidden="1" customHeight="1">
      <c r="A3" s="54"/>
      <c r="B3" s="55">
        <v>0.0</v>
      </c>
      <c r="C3" s="56">
        <v>0.0</v>
      </c>
      <c r="D3" s="56">
        <v>0.0</v>
      </c>
      <c r="E3" s="108"/>
      <c r="F3" s="58"/>
      <c r="G3" s="59"/>
      <c r="H3" s="60"/>
      <c r="I3" s="142"/>
      <c r="J3" s="142"/>
      <c r="K3" s="59"/>
      <c r="L3" s="59"/>
      <c r="M3" s="59"/>
      <c r="N3" s="143"/>
      <c r="O3" s="143"/>
      <c r="P3" s="59"/>
      <c r="Q3" s="59"/>
      <c r="R3" s="59"/>
      <c r="S3" s="59"/>
      <c r="T3" s="59"/>
      <c r="U3" s="144"/>
      <c r="V3" s="145"/>
    </row>
    <row r="4" ht="22.5" hidden="1" customHeight="1">
      <c r="A4" s="46"/>
      <c r="B4" s="66"/>
      <c r="E4" s="108"/>
      <c r="F4" s="58"/>
      <c r="G4" s="59"/>
      <c r="H4" s="60"/>
      <c r="I4" s="142"/>
      <c r="J4" s="142"/>
      <c r="K4" s="59"/>
      <c r="L4" s="59"/>
      <c r="M4" s="59"/>
      <c r="N4" s="143"/>
      <c r="O4" s="143"/>
      <c r="P4" s="59"/>
      <c r="Q4" s="59"/>
      <c r="R4" s="59"/>
      <c r="S4" s="59"/>
      <c r="T4" s="59"/>
      <c r="U4" s="144"/>
      <c r="V4" s="145"/>
    </row>
    <row r="5" ht="22.5" hidden="1" customHeight="1">
      <c r="A5" s="46"/>
      <c r="B5" s="66"/>
      <c r="E5" s="108"/>
      <c r="F5" s="58"/>
      <c r="G5" s="59"/>
      <c r="H5" s="60"/>
      <c r="I5" s="142"/>
      <c r="J5" s="142"/>
      <c r="K5" s="59"/>
      <c r="L5" s="59"/>
      <c r="M5" s="59"/>
      <c r="N5" s="143"/>
      <c r="O5" s="143"/>
      <c r="P5" s="59"/>
      <c r="Q5" s="59"/>
      <c r="R5" s="59"/>
      <c r="S5" s="59"/>
      <c r="T5" s="59"/>
      <c r="U5" s="144"/>
      <c r="V5" s="145"/>
    </row>
    <row r="6" ht="22.5" hidden="1" customHeight="1">
      <c r="A6" s="46"/>
      <c r="B6" s="66"/>
      <c r="E6" s="108"/>
      <c r="F6" s="58"/>
      <c r="G6" s="59"/>
      <c r="H6" s="60"/>
      <c r="I6" s="142"/>
      <c r="J6" s="142"/>
      <c r="K6" s="59"/>
      <c r="L6" s="59"/>
      <c r="M6" s="59"/>
      <c r="N6" s="143"/>
      <c r="O6" s="143"/>
      <c r="P6" s="59"/>
      <c r="Q6" s="59"/>
      <c r="R6" s="59"/>
      <c r="S6" s="59"/>
      <c r="T6" s="59"/>
      <c r="U6" s="144"/>
      <c r="V6" s="145"/>
    </row>
    <row r="7" ht="22.5" hidden="1" customHeight="1">
      <c r="A7" s="46"/>
      <c r="B7" s="66"/>
      <c r="E7" s="108"/>
      <c r="F7" s="58"/>
      <c r="G7" s="59"/>
      <c r="H7" s="60"/>
      <c r="I7" s="142"/>
      <c r="J7" s="142"/>
      <c r="K7" s="59"/>
      <c r="L7" s="59"/>
      <c r="M7" s="59"/>
      <c r="N7" s="143"/>
      <c r="O7" s="143"/>
      <c r="P7" s="59"/>
      <c r="Q7" s="59"/>
      <c r="R7" s="59"/>
      <c r="S7" s="59"/>
      <c r="T7" s="59"/>
      <c r="U7" s="144"/>
      <c r="V7" s="145"/>
    </row>
    <row r="8" ht="22.5" hidden="1" customHeight="1">
      <c r="A8" s="46"/>
      <c r="B8" s="66"/>
      <c r="E8" s="108"/>
      <c r="F8" s="58"/>
      <c r="G8" s="59"/>
      <c r="H8" s="60"/>
      <c r="I8" s="142"/>
      <c r="J8" s="142"/>
      <c r="K8" s="59"/>
      <c r="L8" s="59"/>
      <c r="M8" s="59"/>
      <c r="N8" s="143"/>
      <c r="O8" s="143"/>
      <c r="P8" s="59"/>
      <c r="Q8" s="59"/>
      <c r="R8" s="59"/>
      <c r="S8" s="59"/>
      <c r="T8" s="59"/>
      <c r="U8" s="144"/>
      <c r="V8" s="145"/>
    </row>
    <row r="9" ht="22.5" hidden="1" customHeight="1">
      <c r="A9" s="46"/>
      <c r="B9" s="66"/>
      <c r="E9" s="108"/>
      <c r="F9" s="58"/>
      <c r="G9" s="59"/>
      <c r="H9" s="60"/>
      <c r="I9" s="142"/>
      <c r="J9" s="142"/>
      <c r="K9" s="59"/>
      <c r="L9" s="59"/>
      <c r="M9" s="59"/>
      <c r="N9" s="143"/>
      <c r="O9" s="143"/>
      <c r="P9" s="59"/>
      <c r="Q9" s="59"/>
      <c r="R9" s="59"/>
      <c r="S9" s="59"/>
      <c r="T9" s="59"/>
      <c r="U9" s="144"/>
      <c r="V9" s="145"/>
    </row>
    <row r="10" ht="22.5" hidden="1" customHeight="1">
      <c r="A10" s="46"/>
      <c r="B10" s="66"/>
      <c r="E10" s="108"/>
      <c r="F10" s="58"/>
      <c r="G10" s="59"/>
      <c r="H10" s="60"/>
      <c r="I10" s="142"/>
      <c r="J10" s="142"/>
      <c r="K10" s="59"/>
      <c r="L10" s="59"/>
      <c r="M10" s="59"/>
      <c r="N10" s="143"/>
      <c r="O10" s="143"/>
      <c r="P10" s="59"/>
      <c r="Q10" s="59"/>
      <c r="R10" s="59"/>
      <c r="S10" s="59"/>
      <c r="T10" s="59"/>
      <c r="U10" s="144"/>
      <c r="V10" s="145"/>
    </row>
    <row r="11" ht="22.5" hidden="1" customHeight="1">
      <c r="A11" s="46"/>
      <c r="B11" s="66"/>
      <c r="E11" s="108"/>
      <c r="F11" s="58"/>
      <c r="G11" s="59"/>
      <c r="H11" s="60"/>
      <c r="I11" s="142"/>
      <c r="J11" s="142"/>
      <c r="K11" s="59"/>
      <c r="L11" s="59"/>
      <c r="M11" s="59"/>
      <c r="N11" s="143"/>
      <c r="O11" s="143"/>
      <c r="P11" s="59"/>
      <c r="Q11" s="59"/>
      <c r="R11" s="59"/>
      <c r="S11" s="59"/>
      <c r="T11" s="59"/>
      <c r="U11" s="144"/>
      <c r="V11" s="145"/>
    </row>
    <row r="12" ht="22.5" hidden="1" customHeight="1">
      <c r="A12" s="46"/>
      <c r="B12" s="66"/>
      <c r="E12" s="108"/>
      <c r="F12" s="58"/>
      <c r="G12" s="59"/>
      <c r="H12" s="60"/>
      <c r="I12" s="142"/>
      <c r="J12" s="142"/>
      <c r="K12" s="59"/>
      <c r="L12" s="59"/>
      <c r="M12" s="59"/>
      <c r="N12" s="143"/>
      <c r="O12" s="143"/>
      <c r="P12" s="59"/>
      <c r="Q12" s="59"/>
      <c r="R12" s="59"/>
      <c r="S12" s="59"/>
      <c r="T12" s="59"/>
      <c r="U12" s="144"/>
      <c r="V12" s="145"/>
    </row>
    <row r="13" ht="22.5" hidden="1" customHeight="1">
      <c r="A13" s="46"/>
      <c r="B13" s="66"/>
      <c r="E13" s="108"/>
      <c r="F13" s="58"/>
      <c r="G13" s="59"/>
      <c r="H13" s="60"/>
      <c r="I13" s="142"/>
      <c r="J13" s="142"/>
      <c r="K13" s="59"/>
      <c r="L13" s="59"/>
      <c r="M13" s="59"/>
      <c r="N13" s="143"/>
      <c r="O13" s="143"/>
      <c r="P13" s="59"/>
      <c r="Q13" s="59"/>
      <c r="R13" s="59"/>
      <c r="S13" s="59"/>
      <c r="T13" s="59"/>
      <c r="U13" s="144"/>
      <c r="V13" s="145"/>
    </row>
    <row r="14" ht="22.5" hidden="1" customHeight="1">
      <c r="A14" s="46"/>
      <c r="B14" s="66"/>
      <c r="E14" s="108"/>
      <c r="F14" s="58"/>
      <c r="G14" s="59"/>
      <c r="H14" s="60"/>
      <c r="I14" s="142"/>
      <c r="J14" s="142"/>
      <c r="K14" s="59"/>
      <c r="L14" s="59"/>
      <c r="M14" s="59"/>
      <c r="N14" s="143"/>
      <c r="O14" s="143"/>
      <c r="P14" s="59"/>
      <c r="Q14" s="59"/>
      <c r="R14" s="59"/>
      <c r="S14" s="59"/>
      <c r="T14" s="59"/>
      <c r="U14" s="144"/>
      <c r="V14" s="145"/>
    </row>
    <row r="15" ht="22.5" hidden="1" customHeight="1">
      <c r="A15" s="46"/>
      <c r="B15" s="66"/>
      <c r="E15" s="108"/>
      <c r="F15" s="58"/>
      <c r="G15" s="59"/>
      <c r="H15" s="60"/>
      <c r="I15" s="142"/>
      <c r="J15" s="142"/>
      <c r="K15" s="59"/>
      <c r="L15" s="59"/>
      <c r="M15" s="59"/>
      <c r="N15" s="143"/>
      <c r="O15" s="143"/>
      <c r="P15" s="59"/>
      <c r="Q15" s="59"/>
      <c r="R15" s="59"/>
      <c r="S15" s="59"/>
      <c r="T15" s="59"/>
      <c r="U15" s="144"/>
      <c r="V15" s="145"/>
    </row>
    <row r="16" ht="22.5" hidden="1" customHeight="1">
      <c r="A16" s="46"/>
      <c r="B16" s="66"/>
      <c r="E16" s="108"/>
      <c r="F16" s="58"/>
      <c r="G16" s="59"/>
      <c r="H16" s="60"/>
      <c r="I16" s="142"/>
      <c r="J16" s="142"/>
      <c r="K16" s="59"/>
      <c r="L16" s="59"/>
      <c r="M16" s="59"/>
      <c r="N16" s="143"/>
      <c r="O16" s="143"/>
      <c r="P16" s="59"/>
      <c r="Q16" s="59"/>
      <c r="R16" s="59"/>
      <c r="S16" s="59"/>
      <c r="T16" s="59"/>
      <c r="U16" s="144"/>
      <c r="V16" s="145"/>
    </row>
    <row r="17" ht="22.5" hidden="1" customHeight="1">
      <c r="A17" s="46"/>
      <c r="B17" s="66"/>
      <c r="E17" s="108"/>
      <c r="F17" s="58"/>
      <c r="G17" s="59"/>
      <c r="H17" s="60"/>
      <c r="I17" s="142"/>
      <c r="J17" s="142"/>
      <c r="K17" s="59"/>
      <c r="L17" s="59"/>
      <c r="M17" s="59"/>
      <c r="N17" s="143"/>
      <c r="O17" s="143"/>
      <c r="P17" s="59"/>
      <c r="Q17" s="59"/>
      <c r="R17" s="59"/>
      <c r="S17" s="59"/>
      <c r="T17" s="59"/>
      <c r="U17" s="144"/>
      <c r="V17" s="145"/>
    </row>
    <row r="18" ht="22.5" customHeight="1">
      <c r="A18" s="146" t="s">
        <v>114</v>
      </c>
      <c r="B18" s="68">
        <f>SUM(F18:F23)</f>
        <v>21</v>
      </c>
      <c r="C18" s="68">
        <f>IF(B18&lt;SUM(I18:I23, J18:J23, K18:K23,L18:L23,M18:M23,N18:N23,O18:O23,P18:P23,Q18:Q23,R18:R23,S18:S23,T18:T23,U18:U23,V18:V23),SUM(I18:I23, J18:J23, K18:K23,L18:L23,M18:M23,N18:N23,O18:O23,P18:P23,Q18:Q23,R18:R23,S18:S23,T18:T23,U18:U23,V18:V23),B18)</f>
        <v>22</v>
      </c>
      <c r="D18" s="69">
        <f>IF(C18&gt;B18,$C18-(SUM(I18:I23, J18:J23, K18:K23,L18:L23,M18:M23,N18:N23,O18:O23,P18:P23,Q18:Q23,R18:R23,S18:S23,T18:T23,U18:U23,V18:V23)),$B18-(SUM(I18:I23, J18:J23, K18:K23,L18:L23,M18:M23,N18:N23,O18:O23,P18:P23,Q18:Q23,R18:R23,S18:S23,T18:T23,U18:U23,V18:V23)))</f>
        <v>0</v>
      </c>
      <c r="E18" s="147" t="s">
        <v>115</v>
      </c>
      <c r="F18" s="71">
        <v>4.0</v>
      </c>
      <c r="G18" s="72" t="s">
        <v>73</v>
      </c>
      <c r="H18" s="73" t="s">
        <v>74</v>
      </c>
      <c r="I18" s="148"/>
      <c r="J18" s="148">
        <v>1.0</v>
      </c>
      <c r="K18" s="59"/>
      <c r="L18" s="72">
        <v>1.0</v>
      </c>
      <c r="M18" s="59"/>
      <c r="N18" s="143"/>
      <c r="O18" s="143"/>
      <c r="P18" s="59"/>
      <c r="Q18" s="72">
        <v>1.0</v>
      </c>
      <c r="R18" s="59"/>
      <c r="S18" s="59"/>
      <c r="T18" s="72">
        <v>1.0</v>
      </c>
      <c r="U18" s="144"/>
      <c r="V18" s="145"/>
    </row>
    <row r="19" ht="22.5" customHeight="1">
      <c r="A19" s="76"/>
      <c r="B19" s="76"/>
      <c r="C19" s="76"/>
      <c r="D19" s="77"/>
      <c r="E19" s="147" t="s">
        <v>116</v>
      </c>
      <c r="F19" s="71">
        <v>4.0</v>
      </c>
      <c r="G19" s="72" t="s">
        <v>76</v>
      </c>
      <c r="H19" s="73" t="s">
        <v>74</v>
      </c>
      <c r="I19" s="148">
        <v>2.0</v>
      </c>
      <c r="J19" s="149"/>
      <c r="K19" s="72">
        <v>1.0</v>
      </c>
      <c r="L19" s="59"/>
      <c r="M19" s="72">
        <v>1.0</v>
      </c>
      <c r="N19" s="143"/>
      <c r="O19" s="143"/>
      <c r="P19" s="59"/>
      <c r="Q19" s="59"/>
      <c r="R19" s="59"/>
      <c r="S19" s="59"/>
      <c r="T19" s="59"/>
      <c r="U19" s="144"/>
      <c r="V19" s="145"/>
    </row>
    <row r="20" ht="22.5" customHeight="1">
      <c r="A20" s="76"/>
      <c r="B20" s="76"/>
      <c r="C20" s="76"/>
      <c r="D20" s="77"/>
      <c r="E20" s="147" t="s">
        <v>117</v>
      </c>
      <c r="F20" s="71">
        <v>4.0</v>
      </c>
      <c r="G20" s="72" t="s">
        <v>78</v>
      </c>
      <c r="H20" s="73" t="s">
        <v>74</v>
      </c>
      <c r="I20" s="142"/>
      <c r="J20" s="148">
        <v>1.0</v>
      </c>
      <c r="K20" s="59"/>
      <c r="L20" s="59"/>
      <c r="M20" s="72">
        <v>1.0</v>
      </c>
      <c r="N20" s="143"/>
      <c r="O20" s="143"/>
      <c r="P20" s="59"/>
      <c r="Q20" s="59"/>
      <c r="R20" s="72">
        <v>1.0</v>
      </c>
      <c r="S20" s="59"/>
      <c r="T20" s="72">
        <v>1.0</v>
      </c>
      <c r="U20" s="144"/>
      <c r="V20" s="145"/>
    </row>
    <row r="21" ht="22.5" customHeight="1">
      <c r="A21" s="76"/>
      <c r="B21" s="76"/>
      <c r="C21" s="76"/>
      <c r="D21" s="77"/>
      <c r="E21" s="147" t="s">
        <v>118</v>
      </c>
      <c r="F21" s="71">
        <v>4.0</v>
      </c>
      <c r="G21" s="72" t="s">
        <v>73</v>
      </c>
      <c r="H21" s="73" t="s">
        <v>74</v>
      </c>
      <c r="I21" s="142"/>
      <c r="J21" s="142"/>
      <c r="K21" s="72">
        <v>1.0</v>
      </c>
      <c r="L21" s="114"/>
      <c r="M21" s="72">
        <v>2.0</v>
      </c>
      <c r="N21" s="143"/>
      <c r="O21" s="143"/>
      <c r="P21" s="59"/>
      <c r="Q21" s="72">
        <v>2.0</v>
      </c>
      <c r="R21" s="59"/>
      <c r="S21" s="59"/>
      <c r="T21" s="59"/>
      <c r="U21" s="144"/>
      <c r="V21" s="145"/>
    </row>
    <row r="22" ht="22.5" customHeight="1">
      <c r="A22" s="76"/>
      <c r="B22" s="76"/>
      <c r="C22" s="76"/>
      <c r="D22" s="77"/>
      <c r="E22" s="147" t="s">
        <v>119</v>
      </c>
      <c r="F22" s="71">
        <v>4.0</v>
      </c>
      <c r="G22" s="72" t="s">
        <v>76</v>
      </c>
      <c r="H22" s="73" t="s">
        <v>74</v>
      </c>
      <c r="I22" s="148">
        <v>1.0</v>
      </c>
      <c r="J22" s="142"/>
      <c r="K22" s="72"/>
      <c r="L22" s="72">
        <v>1.0</v>
      </c>
      <c r="M22" s="59"/>
      <c r="N22" s="143"/>
      <c r="O22" s="143"/>
      <c r="P22" s="114"/>
      <c r="Q22" s="59"/>
      <c r="R22" s="72">
        <v>1.0</v>
      </c>
      <c r="S22" s="59"/>
      <c r="T22" s="72">
        <v>1.0</v>
      </c>
      <c r="U22" s="144"/>
      <c r="V22" s="145"/>
    </row>
    <row r="23" ht="22.5" customHeight="1">
      <c r="A23" s="80"/>
      <c r="B23" s="80"/>
      <c r="C23" s="80"/>
      <c r="D23" s="81"/>
      <c r="E23" s="147" t="s">
        <v>120</v>
      </c>
      <c r="F23" s="71">
        <v>1.0</v>
      </c>
      <c r="G23" s="72" t="s">
        <v>78</v>
      </c>
      <c r="H23" s="73" t="s">
        <v>74</v>
      </c>
      <c r="I23" s="142"/>
      <c r="J23" s="148">
        <v>1.0</v>
      </c>
      <c r="K23" s="59"/>
      <c r="L23" s="59"/>
      <c r="M23" s="59"/>
      <c r="N23" s="143"/>
      <c r="O23" s="143"/>
      <c r="P23" s="59"/>
      <c r="Q23" s="59"/>
      <c r="R23" s="59"/>
      <c r="S23" s="59"/>
      <c r="T23" s="59"/>
      <c r="U23" s="144"/>
      <c r="V23" s="145"/>
    </row>
    <row r="24" ht="22.5" customHeight="1">
      <c r="A24" s="146" t="s">
        <v>121</v>
      </c>
      <c r="B24" s="68">
        <f>SUM(F24:F26)</f>
        <v>6</v>
      </c>
      <c r="C24" s="68">
        <f>IF(B24&lt;SUM(I24:I26, J24:J26, K24:K26,L24:L26,M24:M26,N24:N26,O24:O26,P24:P26,Q24:Q26,R24:R26,S24:S26,T24:T26,U24:U26,V24:V26),SUM(I24:I26, J24:J26, K24:K26,L24:L26,M24:M26,N24:N26,O24:O26,P24:P26,Q24:Q26,R24:R26,S24:S26,T24:T26,U24:U26,V24:V26),B24)</f>
        <v>6</v>
      </c>
      <c r="D24" s="69">
        <f>IF(C24&gt;B24,$C24-(SUM(I24:I26, J24:J26, K24:K26,L24:L26,M24:M26,N24:N26,O24:O26,P24:P26,Q24:Q26,R24:R26,S24:S26,T24:T26,U24:U26,V24:V26)),$B24-(SUM(I24:I26, J24:J26, K24:K26,L24:L26,M24:M26,N24:N26,O24:O26,P24:P26,Q24:Q26,R24:R26,S24:S26,T24:T26,U24:U26,V24:V26)))</f>
        <v>0</v>
      </c>
      <c r="E24" s="147" t="s">
        <v>122</v>
      </c>
      <c r="F24" s="71">
        <v>2.0</v>
      </c>
      <c r="G24" s="72" t="s">
        <v>78</v>
      </c>
      <c r="H24" s="73" t="s">
        <v>74</v>
      </c>
      <c r="I24" s="142"/>
      <c r="J24" s="142"/>
      <c r="K24" s="72">
        <v>2.0</v>
      </c>
      <c r="L24" s="114"/>
      <c r="M24" s="59"/>
      <c r="N24" s="143"/>
      <c r="O24" s="143"/>
      <c r="P24" s="59"/>
      <c r="Q24" s="59"/>
      <c r="R24" s="59"/>
      <c r="S24" s="59"/>
      <c r="T24" s="59"/>
      <c r="U24" s="144"/>
      <c r="V24" s="145"/>
    </row>
    <row r="25" ht="22.5" customHeight="1">
      <c r="A25" s="76"/>
      <c r="B25" s="76"/>
      <c r="C25" s="76"/>
      <c r="D25" s="77"/>
      <c r="E25" s="147" t="s">
        <v>123</v>
      </c>
      <c r="F25" s="71">
        <v>2.0</v>
      </c>
      <c r="G25" s="72" t="s">
        <v>76</v>
      </c>
      <c r="H25" s="73" t="s">
        <v>74</v>
      </c>
      <c r="I25" s="148"/>
      <c r="J25" s="148">
        <v>1.0</v>
      </c>
      <c r="K25" s="59"/>
      <c r="L25" s="59"/>
      <c r="M25" s="72"/>
      <c r="N25" s="143"/>
      <c r="O25" s="143"/>
      <c r="P25" s="59"/>
      <c r="Q25" s="72">
        <v>1.0</v>
      </c>
      <c r="R25" s="59"/>
      <c r="S25" s="59"/>
      <c r="T25" s="59"/>
      <c r="U25" s="144"/>
      <c r="V25" s="145"/>
    </row>
    <row r="26" ht="22.5" customHeight="1">
      <c r="A26" s="80"/>
      <c r="B26" s="80"/>
      <c r="C26" s="80"/>
      <c r="D26" s="81"/>
      <c r="E26" s="147" t="s">
        <v>124</v>
      </c>
      <c r="F26" s="71">
        <v>2.0</v>
      </c>
      <c r="G26" s="72" t="s">
        <v>73</v>
      </c>
      <c r="H26" s="73" t="s">
        <v>74</v>
      </c>
      <c r="I26" s="142"/>
      <c r="J26" s="142"/>
      <c r="K26" s="59"/>
      <c r="L26" s="72">
        <v>1.0</v>
      </c>
      <c r="M26" s="72"/>
      <c r="N26" s="150"/>
      <c r="O26" s="143"/>
      <c r="P26" s="59"/>
      <c r="Q26" s="59"/>
      <c r="R26" s="59"/>
      <c r="S26" s="72">
        <v>1.0</v>
      </c>
      <c r="T26" s="59"/>
      <c r="U26" s="144"/>
      <c r="V26" s="145"/>
    </row>
    <row r="27" ht="22.5" customHeight="1">
      <c r="A27" s="146" t="s">
        <v>125</v>
      </c>
      <c r="B27" s="68">
        <f>SUM(F27:F30)</f>
        <v>10</v>
      </c>
      <c r="C27" s="68">
        <f>IF(B27&lt;SUM(I27:I30, J27:J30, K27:K30,L27:L30,M27:M30,N27:N30,O27:O30,P27:P30,Q27:Q30,R27:R30,S27:S30,T27:T30,U27:U30,V27:V30),SUM(I27:I30, J27:J30, K27:K30,L27:L30,M27:M30,N27:N30,O27:O30,P27:P30,Q27:Q30,R27:R30,S27:S30,T27:T30,U27:U30,V27:V30),B27)</f>
        <v>10</v>
      </c>
      <c r="D27" s="69">
        <f>IF(C27&gt;B27,$C27-(SUM(I27:I30, J27:J30, K27:K30,L27:L30,M27:M30,N27:N30,O27:O30,P27:P30,Q27:Q30,R27:R30,S27:S30,T27:T30,U27:U30,V27:V30)),$B27-(SUM(I27:I30, J27:J30, K27:K30,L27:L30,M27:M30,N27:N30,O27:O30,P27:P30,Q27:Q30,R27:R30,S27:S30,T27:T30,U27:U30,V27:V30)))</f>
        <v>0</v>
      </c>
      <c r="E27" s="147" t="s">
        <v>126</v>
      </c>
      <c r="F27" s="71">
        <v>3.0</v>
      </c>
      <c r="G27" s="72" t="s">
        <v>73</v>
      </c>
      <c r="H27" s="73" t="s">
        <v>74</v>
      </c>
      <c r="I27" s="142"/>
      <c r="J27" s="142"/>
      <c r="K27" s="72">
        <v>1.0</v>
      </c>
      <c r="L27" s="59"/>
      <c r="M27" s="59"/>
      <c r="N27" s="143"/>
      <c r="O27" s="143"/>
      <c r="P27" s="72">
        <v>1.0</v>
      </c>
      <c r="Q27" s="59"/>
      <c r="R27" s="72">
        <v>1.0</v>
      </c>
      <c r="S27" s="59"/>
      <c r="T27" s="59"/>
      <c r="U27" s="144"/>
      <c r="V27" s="145"/>
    </row>
    <row r="28" ht="22.5" customHeight="1">
      <c r="A28" s="76"/>
      <c r="B28" s="76"/>
      <c r="C28" s="76"/>
      <c r="D28" s="77"/>
      <c r="E28" s="147" t="s">
        <v>127</v>
      </c>
      <c r="F28" s="71">
        <v>3.0</v>
      </c>
      <c r="G28" s="72" t="s">
        <v>76</v>
      </c>
      <c r="H28" s="73" t="s">
        <v>74</v>
      </c>
      <c r="I28" s="148">
        <v>1.0</v>
      </c>
      <c r="J28" s="142"/>
      <c r="K28" s="59"/>
      <c r="L28" s="59"/>
      <c r="M28" s="72">
        <v>1.0</v>
      </c>
      <c r="N28" s="143"/>
      <c r="O28" s="143"/>
      <c r="P28" s="59"/>
      <c r="Q28" s="59"/>
      <c r="R28" s="59"/>
      <c r="S28" s="59"/>
      <c r="T28" s="72">
        <v>1.0</v>
      </c>
      <c r="U28" s="144"/>
      <c r="V28" s="145"/>
    </row>
    <row r="29" ht="22.5" customHeight="1">
      <c r="A29" s="76"/>
      <c r="B29" s="76"/>
      <c r="C29" s="76"/>
      <c r="D29" s="77"/>
      <c r="E29" s="147" t="s">
        <v>128</v>
      </c>
      <c r="F29" s="71">
        <v>2.0</v>
      </c>
      <c r="G29" s="72" t="s">
        <v>73</v>
      </c>
      <c r="H29" s="73" t="s">
        <v>74</v>
      </c>
      <c r="I29" s="142"/>
      <c r="J29" s="142"/>
      <c r="K29" s="148">
        <v>1.0</v>
      </c>
      <c r="L29" s="149"/>
      <c r="M29" s="149"/>
      <c r="N29" s="143"/>
      <c r="O29" s="143"/>
      <c r="P29" s="72"/>
      <c r="Q29" s="72">
        <v>1.0</v>
      </c>
      <c r="R29" s="59"/>
      <c r="S29" s="59"/>
      <c r="T29" s="59"/>
      <c r="U29" s="144"/>
      <c r="V29" s="145"/>
    </row>
    <row r="30" ht="22.5" customHeight="1">
      <c r="A30" s="80"/>
      <c r="B30" s="80"/>
      <c r="C30" s="80"/>
      <c r="D30" s="81"/>
      <c r="E30" s="151" t="s">
        <v>129</v>
      </c>
      <c r="F30" s="85">
        <v>2.0</v>
      </c>
      <c r="G30" s="86" t="s">
        <v>78</v>
      </c>
      <c r="H30" s="87" t="s">
        <v>74</v>
      </c>
      <c r="I30" s="153"/>
      <c r="J30" s="153"/>
      <c r="K30" s="154"/>
      <c r="L30" s="154"/>
      <c r="M30" s="154"/>
      <c r="N30" s="155"/>
      <c r="O30" s="155"/>
      <c r="P30" s="154"/>
      <c r="Q30" s="154"/>
      <c r="R30" s="86"/>
      <c r="S30" s="154"/>
      <c r="T30" s="86">
        <v>2.0</v>
      </c>
      <c r="U30" s="156"/>
      <c r="V30" s="157"/>
    </row>
    <row r="31" ht="22.5" customHeight="1">
      <c r="A31" s="95" t="s">
        <v>91</v>
      </c>
      <c r="B31" s="96">
        <f t="shared" ref="B31:D31" si="2">SUM(B3:B30)</f>
        <v>37</v>
      </c>
      <c r="C31" s="97">
        <f t="shared" si="2"/>
        <v>38</v>
      </c>
      <c r="D31" s="97">
        <f t="shared" si="2"/>
        <v>0</v>
      </c>
      <c r="E31" s="98"/>
      <c r="F31" s="99"/>
      <c r="G31" s="100"/>
      <c r="H31" s="101"/>
      <c r="I31" s="158">
        <f t="shared" ref="I31:V31" si="3">SUM(I3:I30)</f>
        <v>4</v>
      </c>
      <c r="J31" s="158">
        <f t="shared" si="3"/>
        <v>4</v>
      </c>
      <c r="K31" s="158">
        <f t="shared" si="3"/>
        <v>6</v>
      </c>
      <c r="L31" s="158">
        <f t="shared" si="3"/>
        <v>3</v>
      </c>
      <c r="M31" s="158">
        <f t="shared" si="3"/>
        <v>5</v>
      </c>
      <c r="N31" s="158">
        <f t="shared" si="3"/>
        <v>0</v>
      </c>
      <c r="O31" s="158">
        <f t="shared" si="3"/>
        <v>0</v>
      </c>
      <c r="P31" s="158">
        <f t="shared" si="3"/>
        <v>1</v>
      </c>
      <c r="Q31" s="158">
        <f t="shared" si="3"/>
        <v>5</v>
      </c>
      <c r="R31" s="158">
        <f t="shared" si="3"/>
        <v>3</v>
      </c>
      <c r="S31" s="158">
        <f t="shared" si="3"/>
        <v>1</v>
      </c>
      <c r="T31" s="158">
        <f t="shared" si="3"/>
        <v>6</v>
      </c>
      <c r="U31" s="158">
        <f t="shared" si="3"/>
        <v>0</v>
      </c>
      <c r="V31" s="159">
        <f t="shared" si="3"/>
        <v>0</v>
      </c>
    </row>
    <row r="32">
      <c r="A32" s="104" t="s">
        <v>92</v>
      </c>
      <c r="B32" s="105">
        <f>B31-SUM(I32:V32)</f>
        <v>37</v>
      </c>
      <c r="C32" s="106">
        <f>B32/B31</f>
        <v>1</v>
      </c>
      <c r="D32" s="107"/>
      <c r="E32" s="108"/>
      <c r="F32" s="58"/>
      <c r="G32" s="59"/>
      <c r="H32" s="60"/>
      <c r="I32" s="160">
        <f>SUM('Team members'!$B:$B)</f>
        <v>0</v>
      </c>
      <c r="J32" s="161">
        <f>SUM('Team members'!$B:$B)</f>
        <v>0</v>
      </c>
      <c r="K32" s="161">
        <f>SUM('Team members'!$B:$B)</f>
        <v>0</v>
      </c>
      <c r="L32" s="161">
        <f>SUM('Team members'!$B:$B)</f>
        <v>0</v>
      </c>
      <c r="M32" s="161">
        <f>SUM('Team members'!$B:$B)</f>
        <v>0</v>
      </c>
      <c r="N32" s="162">
        <v>0.0</v>
      </c>
      <c r="O32" s="162">
        <v>0.0</v>
      </c>
      <c r="P32" s="161">
        <f>SUM('Team members'!$B:$B)</f>
        <v>0</v>
      </c>
      <c r="Q32" s="161">
        <f>SUM('Team members'!$B:$B)</f>
        <v>0</v>
      </c>
      <c r="R32" s="161">
        <f>SUM('Team members'!$B:$B)</f>
        <v>0</v>
      </c>
      <c r="S32" s="161">
        <f>SUM('Team members'!$B:$B)</f>
        <v>0</v>
      </c>
      <c r="T32" s="161">
        <f>SUM('Team members'!$B:$B)</f>
        <v>0</v>
      </c>
      <c r="U32" s="162">
        <v>0.0</v>
      </c>
      <c r="V32" s="163">
        <v>0.0</v>
      </c>
    </row>
    <row r="33">
      <c r="A33" s="164" t="s">
        <v>93</v>
      </c>
      <c r="B33" s="107"/>
      <c r="C33" s="107"/>
      <c r="D33" s="107"/>
      <c r="E33" s="108"/>
      <c r="F33" s="58"/>
      <c r="G33" s="114" t="s">
        <v>94</v>
      </c>
      <c r="H33" s="115">
        <f>B31</f>
        <v>37</v>
      </c>
      <c r="I33" s="165">
        <f t="shared" ref="I33:V33" si="4">MAX(H33-I32,0)</f>
        <v>37</v>
      </c>
      <c r="J33" s="165">
        <f t="shared" si="4"/>
        <v>37</v>
      </c>
      <c r="K33" s="165">
        <f t="shared" si="4"/>
        <v>37</v>
      </c>
      <c r="L33" s="165">
        <f t="shared" si="4"/>
        <v>37</v>
      </c>
      <c r="M33" s="165">
        <f t="shared" si="4"/>
        <v>37</v>
      </c>
      <c r="N33" s="165">
        <f t="shared" si="4"/>
        <v>37</v>
      </c>
      <c r="O33" s="165">
        <f t="shared" si="4"/>
        <v>37</v>
      </c>
      <c r="P33" s="165">
        <f t="shared" si="4"/>
        <v>37</v>
      </c>
      <c r="Q33" s="165">
        <f t="shared" si="4"/>
        <v>37</v>
      </c>
      <c r="R33" s="165">
        <f t="shared" si="4"/>
        <v>37</v>
      </c>
      <c r="S33" s="165">
        <f t="shared" si="4"/>
        <v>37</v>
      </c>
      <c r="T33" s="165">
        <f t="shared" si="4"/>
        <v>37</v>
      </c>
      <c r="U33" s="165">
        <f t="shared" si="4"/>
        <v>37</v>
      </c>
      <c r="V33" s="165">
        <f t="shared" si="4"/>
        <v>37</v>
      </c>
    </row>
    <row r="34">
      <c r="A34" s="166" t="s">
        <v>95</v>
      </c>
      <c r="B34" s="118"/>
      <c r="C34" s="118"/>
      <c r="D34" s="118"/>
      <c r="E34" s="119"/>
      <c r="F34" s="120"/>
      <c r="G34" s="121" t="s">
        <v>96</v>
      </c>
      <c r="H34" s="122">
        <f>C31</f>
        <v>38</v>
      </c>
      <c r="I34" s="167">
        <f t="shared" ref="I34:V34" si="5">H34-I31</f>
        <v>34</v>
      </c>
      <c r="J34" s="167">
        <f t="shared" si="5"/>
        <v>30</v>
      </c>
      <c r="K34" s="167">
        <f t="shared" si="5"/>
        <v>24</v>
      </c>
      <c r="L34" s="167">
        <f t="shared" si="5"/>
        <v>21</v>
      </c>
      <c r="M34" s="167">
        <f t="shared" si="5"/>
        <v>16</v>
      </c>
      <c r="N34" s="167">
        <f t="shared" si="5"/>
        <v>16</v>
      </c>
      <c r="O34" s="167">
        <f t="shared" si="5"/>
        <v>16</v>
      </c>
      <c r="P34" s="167">
        <f t="shared" si="5"/>
        <v>15</v>
      </c>
      <c r="Q34" s="167">
        <f t="shared" si="5"/>
        <v>10</v>
      </c>
      <c r="R34" s="167">
        <f t="shared" si="5"/>
        <v>7</v>
      </c>
      <c r="S34" s="167">
        <f t="shared" si="5"/>
        <v>6</v>
      </c>
      <c r="T34" s="167">
        <f t="shared" si="5"/>
        <v>0</v>
      </c>
      <c r="U34" s="167">
        <f t="shared" si="5"/>
        <v>0</v>
      </c>
      <c r="V34" s="168">
        <f t="shared" si="5"/>
        <v>0</v>
      </c>
    </row>
    <row r="35">
      <c r="A35" s="125"/>
      <c r="B35" s="126"/>
      <c r="C35" s="126"/>
      <c r="D35" s="126"/>
      <c r="E35" s="127"/>
      <c r="F35" s="128"/>
      <c r="G35" s="129"/>
      <c r="H35" s="130"/>
      <c r="I35" s="131"/>
      <c r="J35" s="132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</row>
    <row r="36">
      <c r="A36" s="134" t="s">
        <v>97</v>
      </c>
      <c r="B36" s="135">
        <v>31.0</v>
      </c>
      <c r="C36" s="136"/>
      <c r="D36" s="136"/>
      <c r="E36" s="108"/>
      <c r="F36" s="58"/>
      <c r="G36" s="59"/>
      <c r="H36" s="137"/>
      <c r="I36" s="138"/>
      <c r="J36" s="41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ht="17.25" customHeight="1">
      <c r="A37" s="39"/>
      <c r="B37" s="107"/>
      <c r="C37" s="107"/>
      <c r="D37" s="107"/>
      <c r="E37" s="108"/>
      <c r="F37" s="58"/>
      <c r="G37" s="59"/>
      <c r="H37" s="137"/>
      <c r="I37" s="138"/>
      <c r="J37" s="41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ht="17.25" customHeight="1">
      <c r="A38" s="39"/>
      <c r="B38" s="107"/>
      <c r="C38" s="107"/>
      <c r="D38" s="107"/>
      <c r="E38" s="108"/>
      <c r="F38" s="58"/>
      <c r="G38" s="59"/>
      <c r="H38" s="137"/>
      <c r="I38" s="138"/>
      <c r="J38" s="41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>
      <c r="A39" s="39"/>
      <c r="B39" s="107"/>
      <c r="C39" s="107"/>
      <c r="D39" s="107"/>
      <c r="E39" s="108"/>
      <c r="F39" s="58"/>
      <c r="G39" s="59"/>
      <c r="H39" s="137"/>
      <c r="I39" s="138"/>
      <c r="J39" s="41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>
      <c r="A40" s="39"/>
      <c r="B40" s="107"/>
      <c r="C40" s="107"/>
      <c r="D40" s="107"/>
      <c r="E40" s="108"/>
      <c r="F40" s="58"/>
      <c r="G40" s="59"/>
      <c r="H40" s="137"/>
      <c r="I40" s="138"/>
      <c r="J40" s="41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>
      <c r="A41" s="39"/>
      <c r="B41" s="107"/>
      <c r="C41" s="107"/>
      <c r="D41" s="107"/>
      <c r="E41" s="108"/>
      <c r="F41" s="58"/>
      <c r="G41" s="59"/>
      <c r="H41" s="137"/>
      <c r="I41" s="138"/>
      <c r="J41" s="41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>
      <c r="A42" s="39"/>
      <c r="B42" s="107"/>
      <c r="C42" s="107"/>
      <c r="D42" s="107"/>
      <c r="E42" s="108"/>
      <c r="F42" s="58"/>
      <c r="G42" s="59"/>
      <c r="H42" s="137"/>
      <c r="I42" s="138"/>
      <c r="J42" s="41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>
      <c r="A43" s="39"/>
      <c r="B43" s="107"/>
      <c r="C43" s="107"/>
      <c r="D43" s="107"/>
      <c r="E43" s="108"/>
      <c r="F43" s="58"/>
      <c r="G43" s="59"/>
      <c r="H43" s="137"/>
      <c r="I43" s="138"/>
      <c r="J43" s="41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>
      <c r="A44" s="39"/>
      <c r="B44" s="107"/>
      <c r="C44" s="107"/>
      <c r="D44" s="107"/>
      <c r="E44" s="108"/>
      <c r="F44" s="58"/>
      <c r="G44" s="59"/>
      <c r="H44" s="137"/>
      <c r="I44" s="138"/>
      <c r="J44" s="41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>
      <c r="A45" s="39"/>
      <c r="B45" s="107"/>
      <c r="C45" s="107"/>
      <c r="D45" s="107"/>
      <c r="E45" s="108"/>
      <c r="F45" s="58"/>
      <c r="G45" s="59"/>
      <c r="H45" s="137"/>
      <c r="I45" s="138"/>
      <c r="J45" s="41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>
      <c r="A46" s="39"/>
      <c r="B46" s="107"/>
      <c r="C46" s="107"/>
      <c r="D46" s="107"/>
      <c r="E46" s="108"/>
      <c r="F46" s="58"/>
      <c r="G46" s="59"/>
      <c r="H46" s="137"/>
      <c r="I46" s="138"/>
      <c r="J46" s="41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>
      <c r="A47" s="39"/>
      <c r="B47" s="107"/>
      <c r="C47" s="107"/>
      <c r="D47" s="107"/>
      <c r="E47" s="108"/>
      <c r="F47" s="58"/>
      <c r="G47" s="59"/>
      <c r="H47" s="137"/>
      <c r="I47" s="138"/>
      <c r="J47" s="41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>
      <c r="A48" s="39"/>
      <c r="B48" s="107"/>
      <c r="C48" s="107"/>
      <c r="D48" s="107"/>
      <c r="E48" s="108"/>
      <c r="F48" s="58"/>
      <c r="G48" s="59"/>
      <c r="H48" s="137"/>
      <c r="I48" s="138"/>
      <c r="J48" s="41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>
      <c r="A49" s="39"/>
      <c r="B49" s="107"/>
      <c r="C49" s="107"/>
      <c r="D49" s="107"/>
      <c r="E49" s="108"/>
      <c r="F49" s="58"/>
      <c r="G49" s="59"/>
      <c r="H49" s="137"/>
      <c r="I49" s="138"/>
      <c r="J49" s="41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>
      <c r="A50" s="39"/>
      <c r="B50" s="107"/>
      <c r="C50" s="107"/>
      <c r="D50" s="107"/>
      <c r="E50" s="108"/>
      <c r="F50" s="58"/>
      <c r="G50" s="59"/>
      <c r="H50" s="137"/>
      <c r="I50" s="138"/>
      <c r="J50" s="41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>
      <c r="A51" s="39"/>
      <c r="B51" s="107"/>
      <c r="C51" s="107"/>
      <c r="D51" s="107"/>
      <c r="E51" s="108"/>
      <c r="F51" s="58"/>
      <c r="G51" s="59"/>
      <c r="H51" s="137"/>
      <c r="I51" s="138"/>
      <c r="J51" s="41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>
      <c r="A52" s="39"/>
      <c r="B52" s="107"/>
      <c r="C52" s="107"/>
      <c r="D52" s="107"/>
      <c r="E52" s="108"/>
      <c r="F52" s="58"/>
      <c r="G52" s="59"/>
      <c r="H52" s="137"/>
      <c r="I52" s="138"/>
      <c r="J52" s="41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>
      <c r="A53" s="39"/>
      <c r="B53" s="107"/>
      <c r="C53" s="107"/>
      <c r="D53" s="107"/>
      <c r="E53" s="108"/>
      <c r="F53" s="58"/>
      <c r="G53" s="59"/>
      <c r="H53" s="137"/>
      <c r="I53" s="138"/>
      <c r="J53" s="41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>
      <c r="A54" s="39"/>
      <c r="B54" s="107"/>
      <c r="C54" s="107"/>
      <c r="D54" s="107"/>
      <c r="E54" s="108"/>
      <c r="F54" s="58"/>
      <c r="G54" s="59"/>
      <c r="H54" s="137"/>
      <c r="I54" s="138"/>
      <c r="J54" s="41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>
      <c r="A55" s="39"/>
      <c r="B55" s="107"/>
      <c r="C55" s="107"/>
      <c r="D55" s="107"/>
      <c r="E55" s="108"/>
      <c r="F55" s="58"/>
      <c r="G55" s="59"/>
      <c r="H55" s="137"/>
      <c r="I55" s="138"/>
      <c r="J55" s="41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>
      <c r="A56" s="39"/>
      <c r="B56" s="107"/>
      <c r="C56" s="107"/>
      <c r="D56" s="107"/>
      <c r="E56" s="108"/>
      <c r="F56" s="58"/>
      <c r="G56" s="59"/>
      <c r="H56" s="137"/>
      <c r="I56" s="138"/>
      <c r="J56" s="41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>
      <c r="A57" s="39"/>
      <c r="B57" s="107"/>
      <c r="C57" s="107"/>
      <c r="D57" s="107"/>
      <c r="E57" s="108"/>
      <c r="F57" s="58"/>
      <c r="G57" s="59"/>
      <c r="H57" s="137"/>
      <c r="I57" s="138"/>
      <c r="J57" s="41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>
      <c r="A58" s="39"/>
      <c r="B58" s="107"/>
      <c r="C58" s="107"/>
      <c r="D58" s="107"/>
      <c r="E58" s="108"/>
      <c r="F58" s="58"/>
      <c r="G58" s="59"/>
      <c r="H58" s="137"/>
      <c r="I58" s="138"/>
      <c r="J58" s="41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>
      <c r="A59" s="39"/>
      <c r="B59" s="107"/>
      <c r="C59" s="107"/>
      <c r="D59" s="107"/>
      <c r="E59" s="108"/>
      <c r="F59" s="58"/>
      <c r="G59" s="59"/>
      <c r="H59" s="137"/>
      <c r="I59" s="138"/>
      <c r="J59" s="41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</row>
    <row r="60">
      <c r="A60" s="39"/>
      <c r="B60" s="107"/>
      <c r="C60" s="107"/>
      <c r="D60" s="107"/>
      <c r="E60" s="108"/>
      <c r="F60" s="58"/>
      <c r="G60" s="59"/>
      <c r="H60" s="137"/>
      <c r="I60" s="138"/>
      <c r="J60" s="41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>
      <c r="A61" s="39"/>
      <c r="B61" s="107"/>
      <c r="C61" s="107"/>
      <c r="D61" s="107"/>
      <c r="E61" s="108"/>
      <c r="F61" s="58"/>
      <c r="G61" s="59"/>
      <c r="H61" s="137"/>
      <c r="I61" s="138"/>
      <c r="J61" s="41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>
      <c r="A62" s="39"/>
      <c r="B62" s="107"/>
      <c r="C62" s="107"/>
      <c r="D62" s="107"/>
      <c r="E62" s="108"/>
      <c r="F62" s="58"/>
      <c r="G62" s="59"/>
      <c r="H62" s="137"/>
      <c r="I62" s="138"/>
      <c r="J62" s="41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>
      <c r="A63" s="39"/>
      <c r="B63" s="107"/>
      <c r="C63" s="107"/>
      <c r="D63" s="107"/>
      <c r="E63" s="108"/>
      <c r="F63" s="58"/>
      <c r="G63" s="59"/>
      <c r="H63" s="137"/>
      <c r="I63" s="138"/>
      <c r="J63" s="41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>
      <c r="A64" s="39"/>
      <c r="B64" s="107"/>
      <c r="C64" s="107"/>
      <c r="D64" s="107"/>
      <c r="E64" s="108"/>
      <c r="F64" s="58"/>
      <c r="G64" s="59"/>
      <c r="H64" s="137"/>
      <c r="I64" s="138"/>
      <c r="J64" s="41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>
      <c r="A65" s="39"/>
      <c r="B65" s="107"/>
      <c r="C65" s="107"/>
      <c r="D65" s="107"/>
      <c r="E65" s="108"/>
      <c r="F65" s="58"/>
      <c r="G65" s="59"/>
      <c r="H65" s="137"/>
      <c r="I65" s="138"/>
      <c r="J65" s="41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>
      <c r="A66" s="39"/>
      <c r="B66" s="107"/>
      <c r="C66" s="107"/>
      <c r="D66" s="107"/>
      <c r="E66" s="108"/>
      <c r="F66" s="58"/>
      <c r="G66" s="59"/>
      <c r="H66" s="137"/>
      <c r="I66" s="138"/>
      <c r="J66" s="41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>
      <c r="A67" s="39"/>
      <c r="B67" s="107"/>
      <c r="C67" s="107"/>
      <c r="D67" s="107"/>
      <c r="E67" s="108"/>
      <c r="F67" s="58"/>
      <c r="G67" s="59"/>
      <c r="H67" s="137"/>
      <c r="I67" s="138"/>
      <c r="J67" s="41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>
      <c r="A68" s="39"/>
      <c r="B68" s="107"/>
      <c r="C68" s="107"/>
      <c r="D68" s="107"/>
      <c r="E68" s="108"/>
      <c r="F68" s="58"/>
      <c r="G68" s="59"/>
      <c r="H68" s="137"/>
      <c r="I68" s="138"/>
      <c r="J68" s="41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>
      <c r="A69" s="39"/>
      <c r="B69" s="107"/>
      <c r="C69" s="107"/>
      <c r="D69" s="107"/>
      <c r="E69" s="108"/>
      <c r="F69" s="58"/>
      <c r="G69" s="59"/>
      <c r="H69" s="137"/>
      <c r="I69" s="138"/>
      <c r="J69" s="41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  <row r="70">
      <c r="A70" s="39"/>
      <c r="B70" s="107"/>
      <c r="C70" s="107"/>
      <c r="D70" s="107"/>
      <c r="E70" s="108"/>
      <c r="F70" s="58"/>
      <c r="G70" s="59"/>
      <c r="H70" s="137"/>
      <c r="I70" s="138"/>
      <c r="J70" s="41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>
      <c r="A71" s="39"/>
      <c r="B71" s="107"/>
      <c r="C71" s="107"/>
      <c r="D71" s="107"/>
      <c r="E71" s="108"/>
      <c r="F71" s="58"/>
      <c r="G71" s="59"/>
      <c r="H71" s="137"/>
      <c r="I71" s="138"/>
      <c r="J71" s="41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</row>
    <row r="72">
      <c r="A72" s="39"/>
      <c r="B72" s="107"/>
      <c r="C72" s="107"/>
      <c r="D72" s="107"/>
      <c r="E72" s="108"/>
      <c r="F72" s="58"/>
      <c r="G72" s="59"/>
      <c r="H72" s="137"/>
      <c r="I72" s="138"/>
      <c r="J72" s="41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</row>
    <row r="73">
      <c r="A73" s="39"/>
      <c r="B73" s="107"/>
      <c r="C73" s="107"/>
      <c r="D73" s="107"/>
      <c r="E73" s="108"/>
      <c r="F73" s="58"/>
      <c r="G73" s="59"/>
      <c r="H73" s="137"/>
      <c r="I73" s="138"/>
      <c r="J73" s="41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</row>
    <row r="74">
      <c r="A74" s="39"/>
      <c r="B74" s="107"/>
      <c r="C74" s="107"/>
      <c r="D74" s="107"/>
      <c r="E74" s="108"/>
      <c r="F74" s="58"/>
      <c r="G74" s="59"/>
      <c r="H74" s="137"/>
      <c r="I74" s="138"/>
      <c r="J74" s="41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</row>
    <row r="75">
      <c r="A75" s="39"/>
      <c r="B75" s="107"/>
      <c r="C75" s="107"/>
      <c r="D75" s="107"/>
      <c r="E75" s="108"/>
      <c r="F75" s="58"/>
      <c r="G75" s="59"/>
      <c r="H75" s="137"/>
      <c r="I75" s="138"/>
      <c r="J75" s="41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</row>
    <row r="76">
      <c r="A76" s="39"/>
      <c r="B76" s="107"/>
      <c r="C76" s="107"/>
      <c r="D76" s="107"/>
      <c r="E76" s="108"/>
      <c r="F76" s="58"/>
      <c r="G76" s="59"/>
      <c r="H76" s="137"/>
      <c r="I76" s="138"/>
      <c r="J76" s="41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</row>
    <row r="77">
      <c r="A77" s="39"/>
      <c r="B77" s="107"/>
      <c r="C77" s="107"/>
      <c r="D77" s="107"/>
      <c r="E77" s="108"/>
      <c r="F77" s="58"/>
      <c r="G77" s="59"/>
      <c r="H77" s="137"/>
      <c r="I77" s="138"/>
      <c r="J77" s="41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</row>
    <row r="78">
      <c r="A78" s="39"/>
      <c r="B78" s="107"/>
      <c r="C78" s="107"/>
      <c r="D78" s="107"/>
      <c r="E78" s="108"/>
      <c r="F78" s="58"/>
      <c r="G78" s="59"/>
      <c r="H78" s="137"/>
      <c r="I78" s="138"/>
      <c r="J78" s="4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</row>
    <row r="79">
      <c r="A79" s="39"/>
      <c r="B79" s="107"/>
      <c r="C79" s="107"/>
      <c r="D79" s="107"/>
      <c r="E79" s="108"/>
      <c r="F79" s="58"/>
      <c r="G79" s="59"/>
      <c r="H79" s="137"/>
      <c r="I79" s="138"/>
      <c r="J79" s="4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</row>
    <row r="80">
      <c r="A80" s="39"/>
      <c r="B80" s="107"/>
      <c r="C80" s="107"/>
      <c r="D80" s="107"/>
      <c r="E80" s="108"/>
      <c r="F80" s="58"/>
      <c r="G80" s="59"/>
      <c r="H80" s="137"/>
      <c r="I80" s="138"/>
      <c r="J80" s="41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</row>
    <row r="81">
      <c r="A81" s="39"/>
      <c r="B81" s="107"/>
      <c r="C81" s="107"/>
      <c r="D81" s="107"/>
      <c r="E81" s="108"/>
      <c r="F81" s="58"/>
      <c r="G81" s="59"/>
      <c r="H81" s="137"/>
      <c r="I81" s="138"/>
      <c r="J81" s="4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</row>
    <row r="82">
      <c r="A82" s="39"/>
      <c r="B82" s="107"/>
      <c r="C82" s="107"/>
      <c r="D82" s="107"/>
      <c r="E82" s="108"/>
      <c r="F82" s="58"/>
      <c r="G82" s="59"/>
      <c r="H82" s="137"/>
      <c r="I82" s="138"/>
      <c r="J82" s="4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</row>
    <row r="83">
      <c r="A83" s="39"/>
      <c r="B83" s="107"/>
      <c r="C83" s="107"/>
      <c r="D83" s="107"/>
      <c r="E83" s="108"/>
      <c r="F83" s="58"/>
      <c r="G83" s="59"/>
      <c r="H83" s="137"/>
      <c r="I83" s="138"/>
      <c r="J83" s="4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</row>
    <row r="84">
      <c r="A84" s="39"/>
      <c r="B84" s="107"/>
      <c r="C84" s="107"/>
      <c r="D84" s="107"/>
      <c r="E84" s="108"/>
      <c r="F84" s="58"/>
      <c r="G84" s="59"/>
      <c r="H84" s="137"/>
      <c r="I84" s="138"/>
      <c r="J84" s="4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</row>
    <row r="85">
      <c r="A85" s="39"/>
      <c r="B85" s="107"/>
      <c r="C85" s="107"/>
      <c r="D85" s="107"/>
      <c r="E85" s="108"/>
      <c r="F85" s="58"/>
      <c r="G85" s="59"/>
      <c r="H85" s="137"/>
      <c r="I85" s="138"/>
      <c r="J85" s="4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</row>
    <row r="86">
      <c r="A86" s="39"/>
      <c r="B86" s="107"/>
      <c r="C86" s="107"/>
      <c r="D86" s="107"/>
      <c r="E86" s="108"/>
      <c r="F86" s="58"/>
      <c r="G86" s="59"/>
      <c r="H86" s="137"/>
      <c r="I86" s="138"/>
      <c r="J86" s="4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</row>
    <row r="87">
      <c r="A87" s="39"/>
      <c r="B87" s="107"/>
      <c r="C87" s="107"/>
      <c r="D87" s="107"/>
      <c r="E87" s="108"/>
      <c r="F87" s="58"/>
      <c r="G87" s="59"/>
      <c r="H87" s="137"/>
      <c r="I87" s="138"/>
      <c r="J87" s="4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</row>
    <row r="88">
      <c r="A88" s="39"/>
      <c r="B88" s="107"/>
      <c r="C88" s="107"/>
      <c r="D88" s="107"/>
      <c r="E88" s="108"/>
      <c r="F88" s="58"/>
      <c r="G88" s="59"/>
      <c r="H88" s="137"/>
      <c r="I88" s="138"/>
      <c r="J88" s="4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</row>
    <row r="89">
      <c r="A89" s="39"/>
      <c r="B89" s="107"/>
      <c r="C89" s="107"/>
      <c r="D89" s="107"/>
      <c r="E89" s="108"/>
      <c r="F89" s="58"/>
      <c r="G89" s="59"/>
      <c r="H89" s="137"/>
      <c r="I89" s="138"/>
      <c r="J89" s="4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>
      <c r="A90" s="39"/>
      <c r="B90" s="107"/>
      <c r="C90" s="107"/>
      <c r="D90" s="107"/>
      <c r="E90" s="108"/>
      <c r="F90" s="58"/>
      <c r="G90" s="59"/>
      <c r="H90" s="137"/>
      <c r="I90" s="138"/>
      <c r="J90" s="4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</row>
    <row r="91">
      <c r="A91" s="39"/>
      <c r="B91" s="107"/>
      <c r="C91" s="107"/>
      <c r="D91" s="107"/>
      <c r="E91" s="108"/>
      <c r="F91" s="58"/>
      <c r="G91" s="59"/>
      <c r="H91" s="137"/>
      <c r="I91" s="138"/>
      <c r="J91" s="4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</sheetData>
  <mergeCells count="18">
    <mergeCell ref="A1:E1"/>
    <mergeCell ref="I1:V1"/>
    <mergeCell ref="A3:A17"/>
    <mergeCell ref="B3:B17"/>
    <mergeCell ref="C3:C17"/>
    <mergeCell ref="D3:D17"/>
    <mergeCell ref="A18:A23"/>
    <mergeCell ref="D18:D23"/>
    <mergeCell ref="B27:B30"/>
    <mergeCell ref="C27:C30"/>
    <mergeCell ref="B18:B23"/>
    <mergeCell ref="C18:C23"/>
    <mergeCell ref="A24:A26"/>
    <mergeCell ref="B24:B26"/>
    <mergeCell ref="C24:C26"/>
    <mergeCell ref="D24:D26"/>
    <mergeCell ref="A27:A30"/>
    <mergeCell ref="D27:D30"/>
  </mergeCells>
  <conditionalFormatting sqref="I1:V1">
    <cfRule type="cellIs" dxfId="0" priority="1" operator="greaterThan">
      <formula>0</formula>
    </cfRule>
  </conditionalFormatting>
  <conditionalFormatting sqref="I3:V30">
    <cfRule type="cellIs" dxfId="0" priority="2" operator="greaterThan">
      <formula>0</formula>
    </cfRule>
  </conditionalFormatting>
  <conditionalFormatting sqref="I35:V91">
    <cfRule type="cellIs" dxfId="0" priority="3" operator="greaterThan">
      <formula>0</formula>
    </cfRule>
  </conditionalFormatting>
  <conditionalFormatting sqref="E6:F6">
    <cfRule type="containsText" dxfId="1" priority="4" operator="containsText" text="Done">
      <formula>NOT(ISERROR(SEARCH(("Done"),(E6))))</formula>
    </cfRule>
  </conditionalFormatting>
  <conditionalFormatting sqref="E25:F25">
    <cfRule type="containsText" dxfId="1" priority="5" operator="containsText" text="Done">
      <formula>NOT(ISERROR(SEARCH(("Done"),(E25))))</formula>
    </cfRule>
  </conditionalFormatting>
  <conditionalFormatting sqref="G6:G17">
    <cfRule type="containsText" dxfId="1" priority="6" operator="containsText" text="Done">
      <formula>NOT(ISERROR(SEARCH(("Done"),(G6))))</formula>
    </cfRule>
  </conditionalFormatting>
  <conditionalFormatting sqref="A33:A34">
    <cfRule type="cellIs" dxfId="2" priority="7" operator="lessThan">
      <formula>1</formula>
    </cfRule>
  </conditionalFormatting>
  <conditionalFormatting sqref="H3:H30">
    <cfRule type="containsText" dxfId="3" priority="8" operator="containsText" text="Done">
      <formula>NOT(ISERROR(SEARCH(("Done"),(H3))))</formula>
    </cfRule>
  </conditionalFormatting>
  <conditionalFormatting sqref="H3:H30">
    <cfRule type="containsText" dxfId="4" priority="9" operator="containsText" text="Blocked">
      <formula>NOT(ISERROR(SEARCH(("Blocked"),(H3))))</formula>
    </cfRule>
  </conditionalFormatting>
  <conditionalFormatting sqref="H3:H30">
    <cfRule type="containsText" dxfId="5" priority="10" operator="containsText" text="Working">
      <formula>NOT(ISERROR(SEARCH(("Working"),(H3))))</formula>
    </cfRule>
  </conditionalFormatting>
  <conditionalFormatting sqref="H18:H30">
    <cfRule type="containsText" dxfId="6" priority="11" operator="containsText" text="Verify">
      <formula>NOT(ISERROR(SEARCH(("Verify"),(H18))))</formula>
    </cfRule>
  </conditionalFormatting>
  <dataValidations>
    <dataValidation type="list" allowBlank="1" showErrorMessage="1" sqref="H3:H30">
      <formula1>'Task statuses'!$A$1:$A$100</formula1>
    </dataValidation>
    <dataValidation type="list" allowBlank="1" showErrorMessage="1" sqref="G3:G30">
      <formula1>'Team members'!$A$1:$A$100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26.88"/>
    <col customWidth="1" min="2" max="4" width="6.38"/>
    <col customWidth="1" min="5" max="5" width="25.13"/>
    <col customWidth="1" min="6" max="6" width="6.38"/>
    <col customWidth="1" min="7" max="7" width="13.13"/>
    <col customWidth="1" min="8" max="8" width="10.38"/>
    <col customWidth="1" min="9" max="22" width="3.88"/>
  </cols>
  <sheetData>
    <row r="1" ht="24.0" customHeight="1">
      <c r="A1" s="139" t="s">
        <v>130</v>
      </c>
      <c r="F1" s="39"/>
      <c r="G1" s="140" t="s">
        <v>62</v>
      </c>
      <c r="H1" s="141">
        <v>46111.0</v>
      </c>
      <c r="I1" s="45" t="s">
        <v>63</v>
      </c>
      <c r="V1" s="46"/>
    </row>
    <row r="2" ht="17.25" customHeight="1">
      <c r="A2" s="47" t="s">
        <v>64</v>
      </c>
      <c r="B2" s="48" t="s">
        <v>65</v>
      </c>
      <c r="C2" s="48" t="s">
        <v>66</v>
      </c>
      <c r="D2" s="48" t="s">
        <v>67</v>
      </c>
      <c r="E2" s="49" t="s">
        <v>68</v>
      </c>
      <c r="F2" s="50" t="s">
        <v>65</v>
      </c>
      <c r="G2" s="51" t="s">
        <v>69</v>
      </c>
      <c r="H2" s="52" t="s">
        <v>70</v>
      </c>
      <c r="I2" s="53">
        <f>H1</f>
        <v>46111</v>
      </c>
      <c r="J2" s="53">
        <f t="shared" ref="J2:V2" si="1">I2+1</f>
        <v>46112</v>
      </c>
      <c r="K2" s="53">
        <f t="shared" si="1"/>
        <v>46113</v>
      </c>
      <c r="L2" s="53">
        <f t="shared" si="1"/>
        <v>46114</v>
      </c>
      <c r="M2" s="53">
        <f t="shared" si="1"/>
        <v>46115</v>
      </c>
      <c r="N2" s="53">
        <f t="shared" si="1"/>
        <v>46116</v>
      </c>
      <c r="O2" s="53">
        <f t="shared" si="1"/>
        <v>46117</v>
      </c>
      <c r="P2" s="53">
        <f t="shared" si="1"/>
        <v>46118</v>
      </c>
      <c r="Q2" s="53">
        <f t="shared" si="1"/>
        <v>46119</v>
      </c>
      <c r="R2" s="53">
        <f t="shared" si="1"/>
        <v>46120</v>
      </c>
      <c r="S2" s="53">
        <f t="shared" si="1"/>
        <v>46121</v>
      </c>
      <c r="T2" s="53">
        <f t="shared" si="1"/>
        <v>46122</v>
      </c>
      <c r="U2" s="53">
        <f t="shared" si="1"/>
        <v>46123</v>
      </c>
      <c r="V2" s="53">
        <f t="shared" si="1"/>
        <v>46124</v>
      </c>
    </row>
    <row r="3" ht="22.5" hidden="1" customHeight="1">
      <c r="A3" s="54"/>
      <c r="B3" s="55">
        <v>0.0</v>
      </c>
      <c r="C3" s="56">
        <v>0.0</v>
      </c>
      <c r="D3" s="56">
        <v>0.0</v>
      </c>
      <c r="E3" s="108"/>
      <c r="F3" s="58"/>
      <c r="G3" s="59"/>
      <c r="H3" s="60"/>
      <c r="I3" s="142"/>
      <c r="J3" s="142"/>
      <c r="K3" s="59"/>
      <c r="L3" s="59"/>
      <c r="M3" s="59"/>
      <c r="N3" s="143"/>
      <c r="O3" s="143"/>
      <c r="P3" s="59"/>
      <c r="Q3" s="59"/>
      <c r="R3" s="59"/>
      <c r="S3" s="59"/>
      <c r="T3" s="59"/>
      <c r="U3" s="144"/>
      <c r="V3" s="145"/>
    </row>
    <row r="4" ht="22.5" hidden="1" customHeight="1">
      <c r="A4" s="46"/>
      <c r="B4" s="66"/>
      <c r="E4" s="108"/>
      <c r="F4" s="58"/>
      <c r="G4" s="59"/>
      <c r="H4" s="60"/>
      <c r="I4" s="142"/>
      <c r="J4" s="142"/>
      <c r="K4" s="59"/>
      <c r="L4" s="59"/>
      <c r="M4" s="59"/>
      <c r="N4" s="143"/>
      <c r="O4" s="143"/>
      <c r="P4" s="59"/>
      <c r="Q4" s="59"/>
      <c r="R4" s="59"/>
      <c r="S4" s="59"/>
      <c r="T4" s="59"/>
      <c r="U4" s="144"/>
      <c r="V4" s="145"/>
    </row>
    <row r="5" ht="22.5" hidden="1" customHeight="1">
      <c r="A5" s="46"/>
      <c r="B5" s="66"/>
      <c r="E5" s="108"/>
      <c r="F5" s="58"/>
      <c r="G5" s="59"/>
      <c r="H5" s="60"/>
      <c r="I5" s="142"/>
      <c r="J5" s="142"/>
      <c r="K5" s="59"/>
      <c r="L5" s="59"/>
      <c r="M5" s="59"/>
      <c r="N5" s="143"/>
      <c r="O5" s="143"/>
      <c r="P5" s="59"/>
      <c r="Q5" s="59"/>
      <c r="R5" s="59"/>
      <c r="S5" s="59"/>
      <c r="T5" s="59"/>
      <c r="U5" s="144"/>
      <c r="V5" s="145"/>
    </row>
    <row r="6" ht="22.5" hidden="1" customHeight="1">
      <c r="A6" s="46"/>
      <c r="B6" s="66"/>
      <c r="E6" s="108"/>
      <c r="F6" s="58"/>
      <c r="G6" s="59"/>
      <c r="H6" s="60"/>
      <c r="I6" s="142"/>
      <c r="J6" s="142"/>
      <c r="K6" s="59"/>
      <c r="L6" s="59"/>
      <c r="M6" s="59"/>
      <c r="N6" s="143"/>
      <c r="O6" s="143"/>
      <c r="P6" s="59"/>
      <c r="Q6" s="59"/>
      <c r="R6" s="59"/>
      <c r="S6" s="59"/>
      <c r="T6" s="59"/>
      <c r="U6" s="144"/>
      <c r="V6" s="145"/>
    </row>
    <row r="7" ht="22.5" hidden="1" customHeight="1">
      <c r="A7" s="46"/>
      <c r="B7" s="66"/>
      <c r="E7" s="108"/>
      <c r="F7" s="58"/>
      <c r="G7" s="59"/>
      <c r="H7" s="60"/>
      <c r="I7" s="142"/>
      <c r="J7" s="142"/>
      <c r="K7" s="59"/>
      <c r="L7" s="59"/>
      <c r="M7" s="59"/>
      <c r="N7" s="143"/>
      <c r="O7" s="143"/>
      <c r="P7" s="59"/>
      <c r="Q7" s="59"/>
      <c r="R7" s="59"/>
      <c r="S7" s="59"/>
      <c r="T7" s="59"/>
      <c r="U7" s="144"/>
      <c r="V7" s="145"/>
    </row>
    <row r="8" ht="22.5" hidden="1" customHeight="1">
      <c r="A8" s="46"/>
      <c r="B8" s="66"/>
      <c r="E8" s="108"/>
      <c r="F8" s="58"/>
      <c r="G8" s="59"/>
      <c r="H8" s="60"/>
      <c r="I8" s="142"/>
      <c r="J8" s="142"/>
      <c r="K8" s="59"/>
      <c r="L8" s="59"/>
      <c r="M8" s="59"/>
      <c r="N8" s="143"/>
      <c r="O8" s="143"/>
      <c r="P8" s="59"/>
      <c r="Q8" s="59"/>
      <c r="R8" s="59"/>
      <c r="S8" s="59"/>
      <c r="T8" s="59"/>
      <c r="U8" s="144"/>
      <c r="V8" s="145"/>
    </row>
    <row r="9" ht="22.5" hidden="1" customHeight="1">
      <c r="A9" s="46"/>
      <c r="B9" s="66"/>
      <c r="E9" s="108"/>
      <c r="F9" s="58"/>
      <c r="G9" s="59"/>
      <c r="H9" s="60"/>
      <c r="I9" s="142"/>
      <c r="J9" s="142"/>
      <c r="K9" s="59"/>
      <c r="L9" s="59"/>
      <c r="M9" s="59"/>
      <c r="N9" s="143"/>
      <c r="O9" s="143"/>
      <c r="P9" s="59"/>
      <c r="Q9" s="59"/>
      <c r="R9" s="59"/>
      <c r="S9" s="59"/>
      <c r="T9" s="59"/>
      <c r="U9" s="144"/>
      <c r="V9" s="145"/>
    </row>
    <row r="10" ht="22.5" hidden="1" customHeight="1">
      <c r="A10" s="46"/>
      <c r="B10" s="66"/>
      <c r="E10" s="108"/>
      <c r="F10" s="58"/>
      <c r="G10" s="59"/>
      <c r="H10" s="60"/>
      <c r="I10" s="142"/>
      <c r="J10" s="142"/>
      <c r="K10" s="59"/>
      <c r="L10" s="59"/>
      <c r="M10" s="59"/>
      <c r="N10" s="143"/>
      <c r="O10" s="143"/>
      <c r="P10" s="59"/>
      <c r="Q10" s="59"/>
      <c r="R10" s="59"/>
      <c r="S10" s="59"/>
      <c r="T10" s="59"/>
      <c r="U10" s="144"/>
      <c r="V10" s="145"/>
    </row>
    <row r="11" ht="22.5" hidden="1" customHeight="1">
      <c r="A11" s="46"/>
      <c r="B11" s="66"/>
      <c r="E11" s="108"/>
      <c r="F11" s="58"/>
      <c r="G11" s="59"/>
      <c r="H11" s="60"/>
      <c r="I11" s="142"/>
      <c r="J11" s="142"/>
      <c r="K11" s="59"/>
      <c r="L11" s="59"/>
      <c r="M11" s="59"/>
      <c r="N11" s="143"/>
      <c r="O11" s="143"/>
      <c r="P11" s="59"/>
      <c r="Q11" s="59"/>
      <c r="R11" s="59"/>
      <c r="S11" s="59"/>
      <c r="T11" s="59"/>
      <c r="U11" s="144"/>
      <c r="V11" s="145"/>
    </row>
    <row r="12" ht="22.5" hidden="1" customHeight="1">
      <c r="A12" s="46"/>
      <c r="B12" s="66"/>
      <c r="E12" s="108"/>
      <c r="F12" s="58"/>
      <c r="G12" s="59"/>
      <c r="H12" s="60"/>
      <c r="I12" s="142"/>
      <c r="J12" s="142"/>
      <c r="K12" s="59"/>
      <c r="L12" s="59"/>
      <c r="M12" s="59"/>
      <c r="N12" s="143"/>
      <c r="O12" s="143"/>
      <c r="P12" s="59"/>
      <c r="Q12" s="59"/>
      <c r="R12" s="59"/>
      <c r="S12" s="59"/>
      <c r="T12" s="59"/>
      <c r="U12" s="144"/>
      <c r="V12" s="145"/>
    </row>
    <row r="13" ht="22.5" hidden="1" customHeight="1">
      <c r="A13" s="46"/>
      <c r="B13" s="66"/>
      <c r="E13" s="108"/>
      <c r="F13" s="58"/>
      <c r="G13" s="59"/>
      <c r="H13" s="60"/>
      <c r="I13" s="142"/>
      <c r="J13" s="142"/>
      <c r="K13" s="59"/>
      <c r="L13" s="59"/>
      <c r="M13" s="59"/>
      <c r="N13" s="143"/>
      <c r="O13" s="143"/>
      <c r="P13" s="59"/>
      <c r="Q13" s="59"/>
      <c r="R13" s="59"/>
      <c r="S13" s="59"/>
      <c r="T13" s="59"/>
      <c r="U13" s="144"/>
      <c r="V13" s="145"/>
    </row>
    <row r="14" ht="22.5" hidden="1" customHeight="1">
      <c r="A14" s="46"/>
      <c r="B14" s="66"/>
      <c r="E14" s="108"/>
      <c r="F14" s="58"/>
      <c r="G14" s="59"/>
      <c r="H14" s="60"/>
      <c r="I14" s="142"/>
      <c r="J14" s="142"/>
      <c r="K14" s="59"/>
      <c r="L14" s="59"/>
      <c r="M14" s="59"/>
      <c r="N14" s="143"/>
      <c r="O14" s="143"/>
      <c r="P14" s="59"/>
      <c r="Q14" s="59"/>
      <c r="R14" s="59"/>
      <c r="S14" s="59"/>
      <c r="T14" s="59"/>
      <c r="U14" s="144"/>
      <c r="V14" s="145"/>
    </row>
    <row r="15" ht="22.5" hidden="1" customHeight="1">
      <c r="A15" s="46"/>
      <c r="B15" s="66"/>
      <c r="E15" s="108"/>
      <c r="F15" s="58"/>
      <c r="G15" s="59"/>
      <c r="H15" s="60"/>
      <c r="I15" s="142"/>
      <c r="J15" s="142"/>
      <c r="K15" s="59"/>
      <c r="L15" s="59"/>
      <c r="M15" s="59"/>
      <c r="N15" s="143"/>
      <c r="O15" s="143"/>
      <c r="P15" s="59"/>
      <c r="Q15" s="59"/>
      <c r="R15" s="59"/>
      <c r="S15" s="59"/>
      <c r="T15" s="59"/>
      <c r="U15" s="144"/>
      <c r="V15" s="145"/>
    </row>
    <row r="16" ht="22.5" hidden="1" customHeight="1">
      <c r="A16" s="46"/>
      <c r="B16" s="66"/>
      <c r="E16" s="108"/>
      <c r="F16" s="58"/>
      <c r="G16" s="59"/>
      <c r="H16" s="60"/>
      <c r="I16" s="142"/>
      <c r="J16" s="142"/>
      <c r="K16" s="59"/>
      <c r="L16" s="59"/>
      <c r="M16" s="59"/>
      <c r="N16" s="143"/>
      <c r="O16" s="143"/>
      <c r="P16" s="59"/>
      <c r="Q16" s="59"/>
      <c r="R16" s="59"/>
      <c r="S16" s="59"/>
      <c r="T16" s="59"/>
      <c r="U16" s="144"/>
      <c r="V16" s="145"/>
    </row>
    <row r="17" ht="22.5" hidden="1" customHeight="1">
      <c r="A17" s="46"/>
      <c r="B17" s="66"/>
      <c r="E17" s="108"/>
      <c r="F17" s="58"/>
      <c r="G17" s="59"/>
      <c r="H17" s="60"/>
      <c r="I17" s="142"/>
      <c r="J17" s="142"/>
      <c r="K17" s="59"/>
      <c r="L17" s="59"/>
      <c r="M17" s="59"/>
      <c r="N17" s="143"/>
      <c r="O17" s="143"/>
      <c r="P17" s="59"/>
      <c r="Q17" s="59"/>
      <c r="R17" s="59"/>
      <c r="S17" s="59"/>
      <c r="T17" s="59"/>
      <c r="U17" s="144"/>
      <c r="V17" s="145"/>
    </row>
    <row r="18" ht="22.5" customHeight="1">
      <c r="A18" s="146" t="s">
        <v>131</v>
      </c>
      <c r="B18" s="68">
        <f>SUM(F18:F23)</f>
        <v>14</v>
      </c>
      <c r="C18" s="68">
        <f>IF(B18&lt;SUM(I18:I23, J18:J23, K18:K23,L18:L23,M18:M23,N18:N23,O18:O23,P18:P23,Q18:Q23,R18:R23,S18:S23,T18:T23,U18:U23,V18:V23),SUM(I18:I23, J18:J23, K18:K23,L18:L23,M18:M23,N18:N23,O18:O23,P18:P23,Q18:Q23,R18:R23,S18:S23,T18:T23,U18:U23,V18:V23),B18)</f>
        <v>14</v>
      </c>
      <c r="D18" s="69">
        <f>IF(C18&gt;B18,$C18-(SUM(I18:I23, J18:J23, K18:K23,L18:L23,M18:M23,N18:N23,O18:O23,P18:P23,Q18:Q23,R18:R23,S18:S23,T18:T23,U18:U23,V18:V23)),$B18-(SUM(I18:I23, J18:J23, K18:K23,L18:L23,M18:M23,N18:N23,O18:O23,P18:P23,Q18:Q23,R18:R23,S18:S23,T18:T23,U18:U23,V18:V23)))</f>
        <v>11</v>
      </c>
      <c r="E18" s="147" t="s">
        <v>132</v>
      </c>
      <c r="F18" s="71">
        <v>3.0</v>
      </c>
      <c r="G18" s="72" t="s">
        <v>73</v>
      </c>
      <c r="H18" s="73" t="s">
        <v>133</v>
      </c>
      <c r="I18" s="148">
        <v>1.0</v>
      </c>
      <c r="J18" s="148"/>
      <c r="K18" s="59"/>
      <c r="L18" s="59"/>
      <c r="M18" s="59"/>
      <c r="N18" s="143"/>
      <c r="O18" s="143"/>
      <c r="P18" s="59"/>
      <c r="Q18" s="59"/>
      <c r="R18" s="59"/>
      <c r="S18" s="59"/>
      <c r="T18" s="59"/>
      <c r="U18" s="144"/>
      <c r="V18" s="145"/>
    </row>
    <row r="19" ht="22.5" customHeight="1">
      <c r="A19" s="76"/>
      <c r="B19" s="76"/>
      <c r="C19" s="76"/>
      <c r="D19" s="77"/>
      <c r="E19" s="147" t="s">
        <v>134</v>
      </c>
      <c r="F19" s="71">
        <v>2.0</v>
      </c>
      <c r="G19" s="72" t="s">
        <v>76</v>
      </c>
      <c r="H19" s="73" t="s">
        <v>133</v>
      </c>
      <c r="I19" s="142"/>
      <c r="J19" s="149"/>
      <c r="K19" s="114"/>
      <c r="L19" s="59"/>
      <c r="M19" s="59"/>
      <c r="N19" s="143"/>
      <c r="O19" s="143"/>
      <c r="P19" s="59"/>
      <c r="Q19" s="59"/>
      <c r="R19" s="59"/>
      <c r="S19" s="59"/>
      <c r="T19" s="59"/>
      <c r="U19" s="144"/>
      <c r="V19" s="145"/>
    </row>
    <row r="20" ht="22.5" customHeight="1">
      <c r="A20" s="76"/>
      <c r="B20" s="76"/>
      <c r="C20" s="76"/>
      <c r="D20" s="77"/>
      <c r="E20" s="147" t="s">
        <v>135</v>
      </c>
      <c r="F20" s="71">
        <v>2.0</v>
      </c>
      <c r="G20" s="72" t="s">
        <v>78</v>
      </c>
      <c r="H20" s="73" t="s">
        <v>133</v>
      </c>
      <c r="I20" s="148">
        <v>1.0</v>
      </c>
      <c r="J20" s="142"/>
      <c r="K20" s="59"/>
      <c r="L20" s="59"/>
      <c r="M20" s="114"/>
      <c r="N20" s="143"/>
      <c r="O20" s="143"/>
      <c r="P20" s="59"/>
      <c r="Q20" s="59"/>
      <c r="R20" s="59"/>
      <c r="S20" s="59"/>
      <c r="T20" s="59"/>
      <c r="U20" s="144"/>
      <c r="V20" s="145"/>
    </row>
    <row r="21" ht="22.5" customHeight="1">
      <c r="A21" s="76"/>
      <c r="B21" s="76"/>
      <c r="C21" s="76"/>
      <c r="D21" s="77"/>
      <c r="E21" s="147" t="s">
        <v>136</v>
      </c>
      <c r="F21" s="71">
        <v>3.0</v>
      </c>
      <c r="G21" s="72" t="s">
        <v>73</v>
      </c>
      <c r="H21" s="73" t="s">
        <v>133</v>
      </c>
      <c r="I21" s="142"/>
      <c r="J21" s="142"/>
      <c r="K21" s="59"/>
      <c r="L21" s="114"/>
      <c r="M21" s="114"/>
      <c r="N21" s="143"/>
      <c r="O21" s="143"/>
      <c r="P21" s="59"/>
      <c r="Q21" s="59"/>
      <c r="R21" s="59"/>
      <c r="S21" s="59"/>
      <c r="T21" s="59"/>
      <c r="U21" s="144"/>
      <c r="V21" s="145"/>
    </row>
    <row r="22" ht="22.5" customHeight="1">
      <c r="A22" s="76"/>
      <c r="B22" s="76"/>
      <c r="C22" s="76"/>
      <c r="D22" s="77"/>
      <c r="E22" s="147" t="s">
        <v>137</v>
      </c>
      <c r="F22" s="71">
        <v>2.0</v>
      </c>
      <c r="G22" s="72" t="s">
        <v>76</v>
      </c>
      <c r="H22" s="73" t="s">
        <v>133</v>
      </c>
      <c r="I22" s="148">
        <v>1.0</v>
      </c>
      <c r="J22" s="142"/>
      <c r="K22" s="72"/>
      <c r="L22" s="59"/>
      <c r="M22" s="59"/>
      <c r="N22" s="143"/>
      <c r="O22" s="143"/>
      <c r="P22" s="114"/>
      <c r="Q22" s="59"/>
      <c r="R22" s="59"/>
      <c r="S22" s="59"/>
      <c r="T22" s="59"/>
      <c r="U22" s="144"/>
      <c r="V22" s="145"/>
    </row>
    <row r="23" ht="22.5" customHeight="1">
      <c r="A23" s="80"/>
      <c r="B23" s="80"/>
      <c r="C23" s="80"/>
      <c r="D23" s="81"/>
      <c r="E23" s="147" t="s">
        <v>138</v>
      </c>
      <c r="F23" s="82">
        <v>2.0</v>
      </c>
      <c r="G23" s="72" t="s">
        <v>78</v>
      </c>
      <c r="H23" s="73" t="s">
        <v>133</v>
      </c>
      <c r="I23" s="142"/>
      <c r="J23" s="142"/>
      <c r="K23" s="59"/>
      <c r="L23" s="59"/>
      <c r="M23" s="59"/>
      <c r="N23" s="143"/>
      <c r="O23" s="143"/>
      <c r="P23" s="59"/>
      <c r="Q23" s="59"/>
      <c r="R23" s="59"/>
      <c r="S23" s="59"/>
      <c r="T23" s="59"/>
      <c r="U23" s="144"/>
      <c r="V23" s="145"/>
    </row>
    <row r="24" ht="22.5" customHeight="1">
      <c r="A24" s="146" t="s">
        <v>139</v>
      </c>
      <c r="B24" s="68">
        <f>SUM(F24:F26)</f>
        <v>9</v>
      </c>
      <c r="C24" s="68">
        <f>IF(B24&lt;SUM(I24:I26, J24:J26, K24:K26,L24:L26,M24:M26,N24:N26,O24:O26,P24:P26,Q24:Q26,R24:R26,S24:S26,T24:T26,U24:U26,V24:V26),SUM(I24:I26, J24:J26, K24:K26,L24:L26,M24:M26,N24:N26,O24:O26,P24:P26,Q24:Q26,R24:R26,S24:S26,T24:T26,U24:U26,V24:V26),B24)</f>
        <v>9</v>
      </c>
      <c r="D24" s="69">
        <f>IF(C24&gt;B24,$C24-(SUM(I24:I26, J24:J26, K24:K26,L24:L26,M24:M26,N24:N26,O24:O26,P24:P26,Q24:Q26,R24:R26,S24:S26,T24:T26,U24:U26,V24:V26)),$B24-(SUM(I24:I26, J24:J26, K24:K26,L24:L26,M24:M26,N24:N26,O24:O26,P24:P26,Q24:Q26,R24:R26,S24:S26,T24:T26,U24:U26,V24:V26)))</f>
        <v>9</v>
      </c>
      <c r="E24" s="147" t="s">
        <v>140</v>
      </c>
      <c r="F24" s="82">
        <v>2.0</v>
      </c>
      <c r="G24" s="72" t="s">
        <v>78</v>
      </c>
      <c r="H24" s="73" t="s">
        <v>133</v>
      </c>
      <c r="I24" s="148"/>
      <c r="J24" s="142"/>
      <c r="K24" s="59"/>
      <c r="L24" s="114"/>
      <c r="M24" s="59"/>
      <c r="N24" s="143"/>
      <c r="O24" s="143"/>
      <c r="P24" s="59"/>
      <c r="Q24" s="59"/>
      <c r="R24" s="59"/>
      <c r="S24" s="59"/>
      <c r="T24" s="59"/>
      <c r="U24" s="144"/>
      <c r="V24" s="145"/>
    </row>
    <row r="25" ht="22.5" customHeight="1">
      <c r="A25" s="76"/>
      <c r="B25" s="76"/>
      <c r="C25" s="76"/>
      <c r="D25" s="77"/>
      <c r="E25" s="147" t="s">
        <v>141</v>
      </c>
      <c r="F25" s="82">
        <v>4.0</v>
      </c>
      <c r="G25" s="72" t="s">
        <v>76</v>
      </c>
      <c r="H25" s="73" t="s">
        <v>133</v>
      </c>
      <c r="I25" s="148"/>
      <c r="J25" s="148"/>
      <c r="K25" s="59"/>
      <c r="L25" s="59"/>
      <c r="M25" s="72"/>
      <c r="N25" s="143"/>
      <c r="O25" s="143"/>
      <c r="P25" s="59"/>
      <c r="Q25" s="59"/>
      <c r="R25" s="59"/>
      <c r="S25" s="59"/>
      <c r="T25" s="59"/>
      <c r="U25" s="144"/>
      <c r="V25" s="145"/>
    </row>
    <row r="26" ht="22.5" customHeight="1">
      <c r="A26" s="80"/>
      <c r="B26" s="80"/>
      <c r="C26" s="80"/>
      <c r="D26" s="81"/>
      <c r="E26" s="147" t="s">
        <v>142</v>
      </c>
      <c r="F26" s="82">
        <v>3.0</v>
      </c>
      <c r="G26" s="72" t="s">
        <v>73</v>
      </c>
      <c r="H26" s="169" t="s">
        <v>133</v>
      </c>
      <c r="I26" s="142"/>
      <c r="J26" s="142"/>
      <c r="K26" s="59"/>
      <c r="L26" s="59"/>
      <c r="M26" s="72"/>
      <c r="N26" s="150"/>
      <c r="O26" s="143"/>
      <c r="P26" s="59"/>
      <c r="Q26" s="59"/>
      <c r="R26" s="59"/>
      <c r="S26" s="59"/>
      <c r="T26" s="59"/>
      <c r="U26" s="144"/>
      <c r="V26" s="145"/>
    </row>
    <row r="27" ht="22.5" customHeight="1">
      <c r="A27" s="146" t="s">
        <v>143</v>
      </c>
      <c r="B27" s="68">
        <f>SUM(F27:F30)</f>
        <v>10</v>
      </c>
      <c r="C27" s="68">
        <f>IF(B27&lt;SUM(I27:I30, J27:J30, K27:K30,L27:L30,M27:M30,N27:N30,O27:O30,P27:P30,Q27:Q30,R27:R30,S27:S30,T27:T30,U27:U30,V27:V30),SUM(I27:I30, J27:J30, K27:K30,L27:L30,M27:M30,N27:N30,O27:O30,P27:P30,Q27:Q30,R27:R30,S27:S30,T27:T30,U27:U30,V27:V30),B27)</f>
        <v>10</v>
      </c>
      <c r="D27" s="69">
        <f>IF(C27&gt;B27,$C27-(SUM(I27:I30, J27:J30, K27:K30,L27:L30,M27:M30,N27:N30,O27:O30,P27:P30,Q27:Q30,R27:R30,S27:S30,T27:T30,U27:U30,V27:V30)),$B27-(SUM(I27:I30, J27:J30, K27:K30,L27:L30,M27:M30,N27:N30,O27:O30,P27:P30,Q27:Q30,R27:R30,S27:S30,T27:T30,U27:U30,V27:V30)))</f>
        <v>10</v>
      </c>
      <c r="E27" s="147" t="s">
        <v>144</v>
      </c>
      <c r="F27" s="71">
        <v>3.0</v>
      </c>
      <c r="G27" s="72" t="s">
        <v>73</v>
      </c>
      <c r="H27" s="73" t="s">
        <v>133</v>
      </c>
      <c r="I27" s="148"/>
      <c r="J27" s="142"/>
      <c r="K27" s="114"/>
      <c r="L27" s="59"/>
      <c r="M27" s="59"/>
      <c r="N27" s="143"/>
      <c r="O27" s="143"/>
      <c r="P27" s="59"/>
      <c r="Q27" s="59"/>
      <c r="R27" s="59"/>
      <c r="S27" s="59"/>
      <c r="T27" s="59"/>
      <c r="U27" s="144"/>
      <c r="V27" s="145"/>
    </row>
    <row r="28" ht="22.5" customHeight="1">
      <c r="A28" s="76"/>
      <c r="B28" s="76"/>
      <c r="C28" s="76"/>
      <c r="D28" s="77"/>
      <c r="E28" s="147" t="s">
        <v>145</v>
      </c>
      <c r="F28" s="71">
        <v>3.0</v>
      </c>
      <c r="G28" s="72" t="s">
        <v>76</v>
      </c>
      <c r="H28" s="169" t="s">
        <v>133</v>
      </c>
      <c r="I28" s="148"/>
      <c r="J28" s="142"/>
      <c r="K28" s="59"/>
      <c r="L28" s="59"/>
      <c r="M28" s="59"/>
      <c r="N28" s="143"/>
      <c r="O28" s="143"/>
      <c r="P28" s="59"/>
      <c r="Q28" s="59"/>
      <c r="R28" s="59"/>
      <c r="S28" s="59"/>
      <c r="T28" s="59"/>
      <c r="U28" s="144"/>
      <c r="V28" s="145"/>
    </row>
    <row r="29" ht="22.5" customHeight="1">
      <c r="A29" s="76"/>
      <c r="B29" s="76"/>
      <c r="C29" s="76"/>
      <c r="D29" s="77"/>
      <c r="E29" s="147" t="s">
        <v>146</v>
      </c>
      <c r="F29" s="71">
        <v>2.0</v>
      </c>
      <c r="G29" s="72" t="s">
        <v>73</v>
      </c>
      <c r="H29" s="73" t="s">
        <v>133</v>
      </c>
      <c r="I29" s="142"/>
      <c r="J29" s="142"/>
      <c r="K29" s="149"/>
      <c r="L29" s="149"/>
      <c r="M29" s="149"/>
      <c r="N29" s="143"/>
      <c r="O29" s="143"/>
      <c r="P29" s="72"/>
      <c r="Q29" s="72"/>
      <c r="R29" s="59"/>
      <c r="S29" s="59"/>
      <c r="T29" s="59"/>
      <c r="U29" s="144"/>
      <c r="V29" s="145"/>
    </row>
    <row r="30" ht="22.5" customHeight="1">
      <c r="A30" s="80"/>
      <c r="B30" s="80"/>
      <c r="C30" s="80"/>
      <c r="D30" s="81"/>
      <c r="E30" s="151" t="s">
        <v>147</v>
      </c>
      <c r="F30" s="85">
        <v>2.0</v>
      </c>
      <c r="G30" s="86" t="s">
        <v>78</v>
      </c>
      <c r="H30" s="170" t="s">
        <v>133</v>
      </c>
      <c r="I30" s="171"/>
      <c r="J30" s="153"/>
      <c r="K30" s="154"/>
      <c r="L30" s="154"/>
      <c r="M30" s="154"/>
      <c r="N30" s="155"/>
      <c r="O30" s="155"/>
      <c r="P30" s="154"/>
      <c r="Q30" s="154"/>
      <c r="R30" s="86"/>
      <c r="S30" s="154"/>
      <c r="T30" s="154"/>
      <c r="U30" s="156"/>
      <c r="V30" s="157"/>
    </row>
    <row r="31" ht="22.5" customHeight="1">
      <c r="A31" s="95" t="s">
        <v>91</v>
      </c>
      <c r="B31" s="96">
        <f t="shared" ref="B31:D31" si="2">SUM(B3:B30)</f>
        <v>33</v>
      </c>
      <c r="C31" s="97">
        <f t="shared" si="2"/>
        <v>33</v>
      </c>
      <c r="D31" s="97">
        <f t="shared" si="2"/>
        <v>30</v>
      </c>
      <c r="E31" s="98"/>
      <c r="F31" s="99"/>
      <c r="G31" s="100"/>
      <c r="H31" s="101"/>
      <c r="I31" s="158">
        <f t="shared" ref="I31:V31" si="3">SUM(I3:I30)</f>
        <v>3</v>
      </c>
      <c r="J31" s="158">
        <f t="shared" si="3"/>
        <v>0</v>
      </c>
      <c r="K31" s="158">
        <f t="shared" si="3"/>
        <v>0</v>
      </c>
      <c r="L31" s="158">
        <f t="shared" si="3"/>
        <v>0</v>
      </c>
      <c r="M31" s="158">
        <f t="shared" si="3"/>
        <v>0</v>
      </c>
      <c r="N31" s="158">
        <f t="shared" si="3"/>
        <v>0</v>
      </c>
      <c r="O31" s="158">
        <f t="shared" si="3"/>
        <v>0</v>
      </c>
      <c r="P31" s="158">
        <f t="shared" si="3"/>
        <v>0</v>
      </c>
      <c r="Q31" s="158">
        <f t="shared" si="3"/>
        <v>0</v>
      </c>
      <c r="R31" s="158">
        <f t="shared" si="3"/>
        <v>0</v>
      </c>
      <c r="S31" s="158">
        <f t="shared" si="3"/>
        <v>0</v>
      </c>
      <c r="T31" s="158">
        <f t="shared" si="3"/>
        <v>0</v>
      </c>
      <c r="U31" s="158">
        <f t="shared" si="3"/>
        <v>0</v>
      </c>
      <c r="V31" s="159">
        <f t="shared" si="3"/>
        <v>0</v>
      </c>
    </row>
    <row r="32">
      <c r="A32" s="104" t="s">
        <v>92</v>
      </c>
      <c r="B32" s="105">
        <f>B31-SUM(I32:V32)</f>
        <v>33</v>
      </c>
      <c r="C32" s="106">
        <f>B32/B31</f>
        <v>1</v>
      </c>
      <c r="D32" s="107"/>
      <c r="E32" s="108"/>
      <c r="F32" s="58"/>
      <c r="G32" s="59"/>
      <c r="H32" s="60"/>
      <c r="I32" s="160">
        <f>SUM('Team members'!$B:$B)</f>
        <v>0</v>
      </c>
      <c r="J32" s="161">
        <f>SUM('Team members'!$B:$B)</f>
        <v>0</v>
      </c>
      <c r="K32" s="161">
        <f>SUM('Team members'!$B:$B)</f>
        <v>0</v>
      </c>
      <c r="L32" s="161">
        <f>SUM('Team members'!$B:$B)</f>
        <v>0</v>
      </c>
      <c r="M32" s="161">
        <f>SUM('Team members'!$B:$B)</f>
        <v>0</v>
      </c>
      <c r="N32" s="162">
        <v>0.0</v>
      </c>
      <c r="O32" s="162">
        <v>0.0</v>
      </c>
      <c r="P32" s="161">
        <f>SUM('Team members'!$B:$B)</f>
        <v>0</v>
      </c>
      <c r="Q32" s="161">
        <f>SUM('Team members'!$B:$B)</f>
        <v>0</v>
      </c>
      <c r="R32" s="161">
        <f>SUM('Team members'!$B:$B)</f>
        <v>0</v>
      </c>
      <c r="S32" s="161">
        <f>SUM('Team members'!$B:$B)</f>
        <v>0</v>
      </c>
      <c r="T32" s="161">
        <f>SUM('Team members'!$B:$B)</f>
        <v>0</v>
      </c>
      <c r="U32" s="162">
        <v>0.0</v>
      </c>
      <c r="V32" s="163">
        <v>0.0</v>
      </c>
    </row>
    <row r="33">
      <c r="A33" s="164" t="s">
        <v>93</v>
      </c>
      <c r="B33" s="107"/>
      <c r="C33" s="107"/>
      <c r="D33" s="107"/>
      <c r="E33" s="108"/>
      <c r="F33" s="58"/>
      <c r="G33" s="114" t="s">
        <v>94</v>
      </c>
      <c r="H33" s="115">
        <f>B31</f>
        <v>33</v>
      </c>
      <c r="I33" s="165">
        <f t="shared" ref="I33:V33" si="4">MAX(H33-I32,0)</f>
        <v>33</v>
      </c>
      <c r="J33" s="165">
        <f t="shared" si="4"/>
        <v>33</v>
      </c>
      <c r="K33" s="165">
        <f t="shared" si="4"/>
        <v>33</v>
      </c>
      <c r="L33" s="165">
        <f t="shared" si="4"/>
        <v>33</v>
      </c>
      <c r="M33" s="165">
        <f t="shared" si="4"/>
        <v>33</v>
      </c>
      <c r="N33" s="165">
        <f t="shared" si="4"/>
        <v>33</v>
      </c>
      <c r="O33" s="165">
        <f t="shared" si="4"/>
        <v>33</v>
      </c>
      <c r="P33" s="165">
        <f t="shared" si="4"/>
        <v>33</v>
      </c>
      <c r="Q33" s="165">
        <f t="shared" si="4"/>
        <v>33</v>
      </c>
      <c r="R33" s="165">
        <f t="shared" si="4"/>
        <v>33</v>
      </c>
      <c r="S33" s="165">
        <f t="shared" si="4"/>
        <v>33</v>
      </c>
      <c r="T33" s="165">
        <f t="shared" si="4"/>
        <v>33</v>
      </c>
      <c r="U33" s="165">
        <f t="shared" si="4"/>
        <v>33</v>
      </c>
      <c r="V33" s="165">
        <f t="shared" si="4"/>
        <v>33</v>
      </c>
    </row>
    <row r="34">
      <c r="A34" s="166" t="s">
        <v>95</v>
      </c>
      <c r="B34" s="118"/>
      <c r="C34" s="118"/>
      <c r="D34" s="118"/>
      <c r="E34" s="119"/>
      <c r="F34" s="120"/>
      <c r="G34" s="121" t="s">
        <v>96</v>
      </c>
      <c r="H34" s="122">
        <f>C31</f>
        <v>33</v>
      </c>
      <c r="I34" s="167">
        <f t="shared" ref="I34:V34" si="5">H34-I31</f>
        <v>30</v>
      </c>
      <c r="J34" s="167">
        <f t="shared" si="5"/>
        <v>30</v>
      </c>
      <c r="K34" s="167">
        <f t="shared" si="5"/>
        <v>30</v>
      </c>
      <c r="L34" s="167">
        <f t="shared" si="5"/>
        <v>30</v>
      </c>
      <c r="M34" s="167">
        <f t="shared" si="5"/>
        <v>30</v>
      </c>
      <c r="N34" s="167">
        <f t="shared" si="5"/>
        <v>30</v>
      </c>
      <c r="O34" s="167">
        <f t="shared" si="5"/>
        <v>30</v>
      </c>
      <c r="P34" s="167">
        <f t="shared" si="5"/>
        <v>30</v>
      </c>
      <c r="Q34" s="167">
        <f t="shared" si="5"/>
        <v>30</v>
      </c>
      <c r="R34" s="167">
        <f t="shared" si="5"/>
        <v>30</v>
      </c>
      <c r="S34" s="167">
        <f t="shared" si="5"/>
        <v>30</v>
      </c>
      <c r="T34" s="167">
        <f t="shared" si="5"/>
        <v>30</v>
      </c>
      <c r="U34" s="167">
        <f t="shared" si="5"/>
        <v>30</v>
      </c>
      <c r="V34" s="168">
        <f t="shared" si="5"/>
        <v>30</v>
      </c>
    </row>
    <row r="35">
      <c r="A35" s="125"/>
      <c r="B35" s="126"/>
      <c r="C35" s="126"/>
      <c r="D35" s="126"/>
      <c r="E35" s="127"/>
      <c r="F35" s="128"/>
      <c r="G35" s="129"/>
      <c r="H35" s="130"/>
      <c r="I35" s="131"/>
      <c r="J35" s="132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</row>
    <row r="36">
      <c r="A36" s="134" t="s">
        <v>97</v>
      </c>
      <c r="B36" s="135">
        <v>31.0</v>
      </c>
      <c r="C36" s="136"/>
      <c r="D36" s="136"/>
      <c r="E36" s="108"/>
      <c r="F36" s="58"/>
      <c r="G36" s="59"/>
      <c r="H36" s="137"/>
      <c r="I36" s="138"/>
      <c r="J36" s="41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ht="17.25" customHeight="1">
      <c r="A37" s="39"/>
      <c r="B37" s="107"/>
      <c r="C37" s="107"/>
      <c r="D37" s="107"/>
      <c r="E37" s="108"/>
      <c r="F37" s="58"/>
      <c r="G37" s="59"/>
      <c r="H37" s="137"/>
      <c r="I37" s="138"/>
      <c r="J37" s="41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ht="17.25" customHeight="1">
      <c r="A38" s="39"/>
      <c r="B38" s="107"/>
      <c r="C38" s="107"/>
      <c r="D38" s="107"/>
      <c r="E38" s="108"/>
      <c r="F38" s="58"/>
      <c r="G38" s="59"/>
      <c r="H38" s="137"/>
      <c r="I38" s="138"/>
      <c r="J38" s="41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>
      <c r="A39" s="39"/>
      <c r="B39" s="107"/>
      <c r="C39" s="107"/>
      <c r="D39" s="107"/>
      <c r="E39" s="108"/>
      <c r="F39" s="58"/>
      <c r="G39" s="59"/>
      <c r="H39" s="137"/>
      <c r="I39" s="138"/>
      <c r="J39" s="41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>
      <c r="A40" s="39"/>
      <c r="B40" s="107"/>
      <c r="C40" s="107"/>
      <c r="D40" s="107"/>
      <c r="E40" s="108"/>
      <c r="F40" s="58"/>
      <c r="G40" s="59"/>
      <c r="H40" s="137"/>
      <c r="I40" s="138"/>
      <c r="J40" s="41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>
      <c r="A41" s="39"/>
      <c r="B41" s="107"/>
      <c r="C41" s="107"/>
      <c r="D41" s="107"/>
      <c r="E41" s="108"/>
      <c r="F41" s="58"/>
      <c r="G41" s="59"/>
      <c r="H41" s="137"/>
      <c r="I41" s="138"/>
      <c r="J41" s="41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>
      <c r="A42" s="39"/>
      <c r="B42" s="107"/>
      <c r="C42" s="107"/>
      <c r="D42" s="107"/>
      <c r="E42" s="108"/>
      <c r="F42" s="58"/>
      <c r="G42" s="59"/>
      <c r="H42" s="137"/>
      <c r="I42" s="138"/>
      <c r="J42" s="41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>
      <c r="A43" s="39"/>
      <c r="B43" s="107"/>
      <c r="C43" s="107"/>
      <c r="D43" s="107"/>
      <c r="E43" s="108"/>
      <c r="F43" s="58"/>
      <c r="G43" s="59"/>
      <c r="H43" s="137"/>
      <c r="I43" s="138"/>
      <c r="J43" s="41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>
      <c r="A44" s="39"/>
      <c r="B44" s="107"/>
      <c r="C44" s="107"/>
      <c r="D44" s="107"/>
      <c r="E44" s="108"/>
      <c r="F44" s="58"/>
      <c r="G44" s="59"/>
      <c r="H44" s="137"/>
      <c r="I44" s="138"/>
      <c r="J44" s="41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>
      <c r="A45" s="39"/>
      <c r="B45" s="107"/>
      <c r="C45" s="107"/>
      <c r="D45" s="107"/>
      <c r="E45" s="108"/>
      <c r="F45" s="58"/>
      <c r="G45" s="59"/>
      <c r="H45" s="137"/>
      <c r="I45" s="138"/>
      <c r="J45" s="41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>
      <c r="A46" s="39"/>
      <c r="B46" s="107"/>
      <c r="C46" s="107"/>
      <c r="D46" s="107"/>
      <c r="E46" s="108"/>
      <c r="F46" s="58"/>
      <c r="G46" s="59"/>
      <c r="H46" s="137"/>
      <c r="I46" s="138"/>
      <c r="J46" s="41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>
      <c r="A47" s="39"/>
      <c r="B47" s="107"/>
      <c r="C47" s="107"/>
      <c r="D47" s="107"/>
      <c r="E47" s="108"/>
      <c r="F47" s="58"/>
      <c r="G47" s="59"/>
      <c r="H47" s="137"/>
      <c r="I47" s="138"/>
      <c r="J47" s="41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>
      <c r="A48" s="39"/>
      <c r="B48" s="107"/>
      <c r="C48" s="107"/>
      <c r="D48" s="107"/>
      <c r="E48" s="108"/>
      <c r="F48" s="58"/>
      <c r="G48" s="59"/>
      <c r="H48" s="137"/>
      <c r="I48" s="138"/>
      <c r="J48" s="41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>
      <c r="A49" s="39"/>
      <c r="B49" s="107"/>
      <c r="C49" s="107"/>
      <c r="D49" s="107"/>
      <c r="E49" s="108"/>
      <c r="F49" s="58"/>
      <c r="G49" s="59"/>
      <c r="H49" s="137"/>
      <c r="I49" s="138"/>
      <c r="J49" s="41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>
      <c r="A50" s="39"/>
      <c r="B50" s="107"/>
      <c r="C50" s="107"/>
      <c r="D50" s="107"/>
      <c r="E50" s="108"/>
      <c r="F50" s="58"/>
      <c r="G50" s="59"/>
      <c r="H50" s="137"/>
      <c r="I50" s="138"/>
      <c r="J50" s="41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>
      <c r="A51" s="39"/>
      <c r="B51" s="107"/>
      <c r="C51" s="107"/>
      <c r="D51" s="107"/>
      <c r="E51" s="108"/>
      <c r="F51" s="58"/>
      <c r="G51" s="59"/>
      <c r="H51" s="137"/>
      <c r="I51" s="138"/>
      <c r="J51" s="41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>
      <c r="A52" s="39"/>
      <c r="B52" s="107"/>
      <c r="C52" s="107"/>
      <c r="D52" s="107"/>
      <c r="E52" s="108"/>
      <c r="F52" s="58"/>
      <c r="G52" s="59"/>
      <c r="H52" s="137"/>
      <c r="I52" s="138"/>
      <c r="J52" s="41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>
      <c r="A53" s="39"/>
      <c r="B53" s="107"/>
      <c r="C53" s="107"/>
      <c r="D53" s="107"/>
      <c r="E53" s="108"/>
      <c r="F53" s="58"/>
      <c r="G53" s="59"/>
      <c r="H53" s="137"/>
      <c r="I53" s="138"/>
      <c r="J53" s="41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>
      <c r="A54" s="39"/>
      <c r="B54" s="107"/>
      <c r="C54" s="107"/>
      <c r="D54" s="107"/>
      <c r="E54" s="108"/>
      <c r="F54" s="58"/>
      <c r="G54" s="59"/>
      <c r="H54" s="137"/>
      <c r="I54" s="138"/>
      <c r="J54" s="41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>
      <c r="A55" s="39"/>
      <c r="B55" s="107"/>
      <c r="C55" s="107"/>
      <c r="D55" s="107"/>
      <c r="E55" s="108"/>
      <c r="F55" s="58"/>
      <c r="G55" s="59"/>
      <c r="H55" s="137"/>
      <c r="I55" s="138"/>
      <c r="J55" s="41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>
      <c r="A56" s="39"/>
      <c r="B56" s="107"/>
      <c r="C56" s="107"/>
      <c r="D56" s="107"/>
      <c r="E56" s="108"/>
      <c r="F56" s="58"/>
      <c r="G56" s="59"/>
      <c r="H56" s="137"/>
      <c r="I56" s="138"/>
      <c r="J56" s="41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>
      <c r="A57" s="39"/>
      <c r="B57" s="107"/>
      <c r="C57" s="107"/>
      <c r="D57" s="107"/>
      <c r="E57" s="108"/>
      <c r="F57" s="58"/>
      <c r="G57" s="59"/>
      <c r="H57" s="137"/>
      <c r="I57" s="138"/>
      <c r="J57" s="41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>
      <c r="A58" s="39"/>
      <c r="B58" s="107"/>
      <c r="C58" s="107"/>
      <c r="D58" s="107"/>
      <c r="E58" s="108"/>
      <c r="F58" s="58"/>
      <c r="G58" s="59"/>
      <c r="H58" s="137"/>
      <c r="I58" s="138"/>
      <c r="J58" s="41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>
      <c r="A59" s="39"/>
      <c r="B59" s="107"/>
      <c r="C59" s="107"/>
      <c r="D59" s="107"/>
      <c r="E59" s="108"/>
      <c r="F59" s="58"/>
      <c r="G59" s="59"/>
      <c r="H59" s="137"/>
      <c r="I59" s="138"/>
      <c r="J59" s="41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</row>
    <row r="60">
      <c r="A60" s="39"/>
      <c r="B60" s="107"/>
      <c r="C60" s="107"/>
      <c r="D60" s="107"/>
      <c r="E60" s="108"/>
      <c r="F60" s="58"/>
      <c r="G60" s="59"/>
      <c r="H60" s="137"/>
      <c r="I60" s="138"/>
      <c r="J60" s="41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>
      <c r="A61" s="39"/>
      <c r="B61" s="107"/>
      <c r="C61" s="107"/>
      <c r="D61" s="107"/>
      <c r="E61" s="108"/>
      <c r="F61" s="58"/>
      <c r="G61" s="59"/>
      <c r="H61" s="137"/>
      <c r="I61" s="138"/>
      <c r="J61" s="41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>
      <c r="A62" s="39"/>
      <c r="B62" s="107"/>
      <c r="C62" s="107"/>
      <c r="D62" s="107"/>
      <c r="E62" s="108"/>
      <c r="F62" s="58"/>
      <c r="G62" s="59"/>
      <c r="H62" s="137"/>
      <c r="I62" s="138"/>
      <c r="J62" s="41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>
      <c r="A63" s="39"/>
      <c r="B63" s="107"/>
      <c r="C63" s="107"/>
      <c r="D63" s="107"/>
      <c r="E63" s="108"/>
      <c r="F63" s="58"/>
      <c r="G63" s="59"/>
      <c r="H63" s="137"/>
      <c r="I63" s="138"/>
      <c r="J63" s="41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>
      <c r="A64" s="39"/>
      <c r="B64" s="107"/>
      <c r="C64" s="107"/>
      <c r="D64" s="107"/>
      <c r="E64" s="108"/>
      <c r="F64" s="58"/>
      <c r="G64" s="59"/>
      <c r="H64" s="137"/>
      <c r="I64" s="138"/>
      <c r="J64" s="41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>
      <c r="A65" s="39"/>
      <c r="B65" s="107"/>
      <c r="C65" s="107"/>
      <c r="D65" s="107"/>
      <c r="E65" s="108"/>
      <c r="F65" s="58"/>
      <c r="G65" s="59"/>
      <c r="H65" s="137"/>
      <c r="I65" s="138"/>
      <c r="J65" s="41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>
      <c r="A66" s="39"/>
      <c r="B66" s="107"/>
      <c r="C66" s="107"/>
      <c r="D66" s="107"/>
      <c r="E66" s="108"/>
      <c r="F66" s="58"/>
      <c r="G66" s="59"/>
      <c r="H66" s="137"/>
      <c r="I66" s="138"/>
      <c r="J66" s="41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>
      <c r="A67" s="39"/>
      <c r="B67" s="107"/>
      <c r="C67" s="107"/>
      <c r="D67" s="107"/>
      <c r="E67" s="108"/>
      <c r="F67" s="58"/>
      <c r="G67" s="59"/>
      <c r="H67" s="137"/>
      <c r="I67" s="138"/>
      <c r="J67" s="41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>
      <c r="A68" s="39"/>
      <c r="B68" s="107"/>
      <c r="C68" s="107"/>
      <c r="D68" s="107"/>
      <c r="E68" s="108"/>
      <c r="F68" s="58"/>
      <c r="G68" s="59"/>
      <c r="H68" s="137"/>
      <c r="I68" s="138"/>
      <c r="J68" s="41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>
      <c r="A69" s="39"/>
      <c r="B69" s="107"/>
      <c r="C69" s="107"/>
      <c r="D69" s="107"/>
      <c r="E69" s="108"/>
      <c r="F69" s="58"/>
      <c r="G69" s="59"/>
      <c r="H69" s="137"/>
      <c r="I69" s="138"/>
      <c r="J69" s="41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  <row r="70">
      <c r="A70" s="39"/>
      <c r="B70" s="107"/>
      <c r="C70" s="107"/>
      <c r="D70" s="107"/>
      <c r="E70" s="108"/>
      <c r="F70" s="58"/>
      <c r="G70" s="59"/>
      <c r="H70" s="137"/>
      <c r="I70" s="138"/>
      <c r="J70" s="41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>
      <c r="A71" s="39"/>
      <c r="B71" s="107"/>
      <c r="C71" s="107"/>
      <c r="D71" s="107"/>
      <c r="E71" s="108"/>
      <c r="F71" s="58"/>
      <c r="G71" s="59"/>
      <c r="H71" s="137"/>
      <c r="I71" s="138"/>
      <c r="J71" s="41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</row>
    <row r="72">
      <c r="A72" s="39"/>
      <c r="B72" s="107"/>
      <c r="C72" s="107"/>
      <c r="D72" s="107"/>
      <c r="E72" s="108"/>
      <c r="F72" s="58"/>
      <c r="G72" s="59"/>
      <c r="H72" s="137"/>
      <c r="I72" s="138"/>
      <c r="J72" s="41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</row>
    <row r="73">
      <c r="A73" s="39"/>
      <c r="B73" s="107"/>
      <c r="C73" s="107"/>
      <c r="D73" s="107"/>
      <c r="E73" s="108"/>
      <c r="F73" s="58"/>
      <c r="G73" s="59"/>
      <c r="H73" s="137"/>
      <c r="I73" s="138"/>
      <c r="J73" s="41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</row>
    <row r="74">
      <c r="A74" s="39"/>
      <c r="B74" s="107"/>
      <c r="C74" s="107"/>
      <c r="D74" s="107"/>
      <c r="E74" s="108"/>
      <c r="F74" s="58"/>
      <c r="G74" s="59"/>
      <c r="H74" s="137"/>
      <c r="I74" s="138"/>
      <c r="J74" s="41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</row>
    <row r="75">
      <c r="A75" s="39"/>
      <c r="B75" s="107"/>
      <c r="C75" s="107"/>
      <c r="D75" s="107"/>
      <c r="E75" s="108"/>
      <c r="F75" s="58"/>
      <c r="G75" s="59"/>
      <c r="H75" s="137"/>
      <c r="I75" s="138"/>
      <c r="J75" s="41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</row>
    <row r="76">
      <c r="A76" s="39"/>
      <c r="B76" s="107"/>
      <c r="C76" s="107"/>
      <c r="D76" s="107"/>
      <c r="E76" s="108"/>
      <c r="F76" s="58"/>
      <c r="G76" s="59"/>
      <c r="H76" s="137"/>
      <c r="I76" s="138"/>
      <c r="J76" s="41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</row>
    <row r="77">
      <c r="A77" s="39"/>
      <c r="B77" s="107"/>
      <c r="C77" s="107"/>
      <c r="D77" s="107"/>
      <c r="E77" s="108"/>
      <c r="F77" s="58"/>
      <c r="G77" s="59"/>
      <c r="H77" s="137"/>
      <c r="I77" s="138"/>
      <c r="J77" s="41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</row>
    <row r="78">
      <c r="A78" s="39"/>
      <c r="B78" s="107"/>
      <c r="C78" s="107"/>
      <c r="D78" s="107"/>
      <c r="E78" s="108"/>
      <c r="F78" s="58"/>
      <c r="G78" s="59"/>
      <c r="H78" s="137"/>
      <c r="I78" s="138"/>
      <c r="J78" s="4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</row>
    <row r="79">
      <c r="A79" s="39"/>
      <c r="B79" s="107"/>
      <c r="C79" s="107"/>
      <c r="D79" s="107"/>
      <c r="E79" s="108"/>
      <c r="F79" s="58"/>
      <c r="G79" s="59"/>
      <c r="H79" s="137"/>
      <c r="I79" s="138"/>
      <c r="J79" s="4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</row>
    <row r="80">
      <c r="A80" s="39"/>
      <c r="B80" s="107"/>
      <c r="C80" s="107"/>
      <c r="D80" s="107"/>
      <c r="E80" s="108"/>
      <c r="F80" s="58"/>
      <c r="G80" s="59"/>
      <c r="H80" s="137"/>
      <c r="I80" s="138"/>
      <c r="J80" s="41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</row>
    <row r="81">
      <c r="A81" s="39"/>
      <c r="B81" s="107"/>
      <c r="C81" s="107"/>
      <c r="D81" s="107"/>
      <c r="E81" s="108"/>
      <c r="F81" s="58"/>
      <c r="G81" s="59"/>
      <c r="H81" s="137"/>
      <c r="I81" s="138"/>
      <c r="J81" s="4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</row>
    <row r="82">
      <c r="A82" s="39"/>
      <c r="B82" s="107"/>
      <c r="C82" s="107"/>
      <c r="D82" s="107"/>
      <c r="E82" s="108"/>
      <c r="F82" s="58"/>
      <c r="G82" s="59"/>
      <c r="H82" s="137"/>
      <c r="I82" s="138"/>
      <c r="J82" s="4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</row>
    <row r="83">
      <c r="A83" s="39"/>
      <c r="B83" s="107"/>
      <c r="C83" s="107"/>
      <c r="D83" s="107"/>
      <c r="E83" s="108"/>
      <c r="F83" s="58"/>
      <c r="G83" s="59"/>
      <c r="H83" s="137"/>
      <c r="I83" s="138"/>
      <c r="J83" s="4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</row>
    <row r="84">
      <c r="A84" s="39"/>
      <c r="B84" s="107"/>
      <c r="C84" s="107"/>
      <c r="D84" s="107"/>
      <c r="E84" s="108"/>
      <c r="F84" s="58"/>
      <c r="G84" s="59"/>
      <c r="H84" s="137"/>
      <c r="I84" s="138"/>
      <c r="J84" s="4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</row>
    <row r="85">
      <c r="A85" s="39"/>
      <c r="B85" s="107"/>
      <c r="C85" s="107"/>
      <c r="D85" s="107"/>
      <c r="E85" s="108"/>
      <c r="F85" s="58"/>
      <c r="G85" s="59"/>
      <c r="H85" s="137"/>
      <c r="I85" s="138"/>
      <c r="J85" s="4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</row>
    <row r="86">
      <c r="A86" s="39"/>
      <c r="B86" s="107"/>
      <c r="C86" s="107"/>
      <c r="D86" s="107"/>
      <c r="E86" s="108"/>
      <c r="F86" s="58"/>
      <c r="G86" s="59"/>
      <c r="H86" s="137"/>
      <c r="I86" s="138"/>
      <c r="J86" s="4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</row>
    <row r="87">
      <c r="A87" s="39"/>
      <c r="B87" s="107"/>
      <c r="C87" s="107"/>
      <c r="D87" s="107"/>
      <c r="E87" s="108"/>
      <c r="F87" s="58"/>
      <c r="G87" s="59"/>
      <c r="H87" s="137"/>
      <c r="I87" s="138"/>
      <c r="J87" s="4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</row>
    <row r="88">
      <c r="A88" s="39"/>
      <c r="B88" s="107"/>
      <c r="C88" s="107"/>
      <c r="D88" s="107"/>
      <c r="E88" s="108"/>
      <c r="F88" s="58"/>
      <c r="G88" s="59"/>
      <c r="H88" s="137"/>
      <c r="I88" s="138"/>
      <c r="J88" s="4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</row>
    <row r="89">
      <c r="A89" s="39"/>
      <c r="B89" s="107"/>
      <c r="C89" s="107"/>
      <c r="D89" s="107"/>
      <c r="E89" s="108"/>
      <c r="F89" s="58"/>
      <c r="G89" s="59"/>
      <c r="H89" s="137"/>
      <c r="I89" s="138"/>
      <c r="J89" s="4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>
      <c r="A90" s="39"/>
      <c r="B90" s="107"/>
      <c r="C90" s="107"/>
      <c r="D90" s="107"/>
      <c r="E90" s="108"/>
      <c r="F90" s="58"/>
      <c r="G90" s="59"/>
      <c r="H90" s="137"/>
      <c r="I90" s="138"/>
      <c r="J90" s="4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</row>
    <row r="91">
      <c r="A91" s="39"/>
      <c r="B91" s="107"/>
      <c r="C91" s="107"/>
      <c r="D91" s="107"/>
      <c r="E91" s="108"/>
      <c r="F91" s="58"/>
      <c r="G91" s="59"/>
      <c r="H91" s="137"/>
      <c r="I91" s="138"/>
      <c r="J91" s="4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</sheetData>
  <mergeCells count="18">
    <mergeCell ref="A1:E1"/>
    <mergeCell ref="I1:V1"/>
    <mergeCell ref="A3:A17"/>
    <mergeCell ref="B3:B17"/>
    <mergeCell ref="C3:C17"/>
    <mergeCell ref="D3:D17"/>
    <mergeCell ref="A18:A23"/>
    <mergeCell ref="D18:D23"/>
    <mergeCell ref="B27:B30"/>
    <mergeCell ref="C27:C30"/>
    <mergeCell ref="B18:B23"/>
    <mergeCell ref="C18:C23"/>
    <mergeCell ref="A24:A26"/>
    <mergeCell ref="B24:B26"/>
    <mergeCell ref="C24:C26"/>
    <mergeCell ref="D24:D26"/>
    <mergeCell ref="A27:A30"/>
    <mergeCell ref="D27:D30"/>
  </mergeCells>
  <conditionalFormatting sqref="I1:V1">
    <cfRule type="cellIs" dxfId="0" priority="1" operator="greaterThan">
      <formula>0</formula>
    </cfRule>
  </conditionalFormatting>
  <conditionalFormatting sqref="I3:V30">
    <cfRule type="cellIs" dxfId="0" priority="2" operator="greaterThan">
      <formula>0</formula>
    </cfRule>
  </conditionalFormatting>
  <conditionalFormatting sqref="I35:V91">
    <cfRule type="cellIs" dxfId="0" priority="3" operator="greaterThan">
      <formula>0</formula>
    </cfRule>
  </conditionalFormatting>
  <conditionalFormatting sqref="E6:F6">
    <cfRule type="containsText" dxfId="1" priority="4" operator="containsText" text="Done">
      <formula>NOT(ISERROR(SEARCH(("Done"),(E6))))</formula>
    </cfRule>
  </conditionalFormatting>
  <conditionalFormatting sqref="E25:F25">
    <cfRule type="containsText" dxfId="1" priority="5" operator="containsText" text="Done">
      <formula>NOT(ISERROR(SEARCH(("Done"),(E25))))</formula>
    </cfRule>
  </conditionalFormatting>
  <conditionalFormatting sqref="G6:G17">
    <cfRule type="containsText" dxfId="1" priority="6" operator="containsText" text="Done">
      <formula>NOT(ISERROR(SEARCH(("Done"),(G6))))</formula>
    </cfRule>
  </conditionalFormatting>
  <conditionalFormatting sqref="A33:A34">
    <cfRule type="cellIs" dxfId="2" priority="7" operator="lessThan">
      <formula>1</formula>
    </cfRule>
  </conditionalFormatting>
  <conditionalFormatting sqref="H3:H30">
    <cfRule type="containsText" dxfId="3" priority="8" operator="containsText" text="Done">
      <formula>NOT(ISERROR(SEARCH(("Done"),(H3))))</formula>
    </cfRule>
  </conditionalFormatting>
  <conditionalFormatting sqref="H3:H30">
    <cfRule type="containsText" dxfId="4" priority="9" operator="containsText" text="Blocked">
      <formula>NOT(ISERROR(SEARCH(("Blocked"),(H3))))</formula>
    </cfRule>
  </conditionalFormatting>
  <conditionalFormatting sqref="H3:H30">
    <cfRule type="containsText" dxfId="5" priority="10" operator="containsText" text="Working">
      <formula>NOT(ISERROR(SEARCH(("Working"),(H3))))</formula>
    </cfRule>
  </conditionalFormatting>
  <conditionalFormatting sqref="H18:H30">
    <cfRule type="containsText" dxfId="6" priority="11" operator="containsText" text="Verify">
      <formula>NOT(ISERROR(SEARCH(("Verify"),(H18))))</formula>
    </cfRule>
  </conditionalFormatting>
  <dataValidations>
    <dataValidation type="list" allowBlank="1" showErrorMessage="1" sqref="H3:H30">
      <formula1>'Task statuses'!$A$1:$A$100</formula1>
    </dataValidation>
    <dataValidation type="list" allowBlank="1" showErrorMessage="1" sqref="G3:G30">
      <formula1>'Team members'!$A$1:$A$100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26.88"/>
    <col customWidth="1" min="2" max="4" width="6.38"/>
    <col customWidth="1" min="5" max="5" width="25.13"/>
    <col customWidth="1" min="6" max="6" width="6.38"/>
    <col customWidth="1" min="7" max="7" width="13.13"/>
    <col customWidth="1" min="8" max="8" width="10.38"/>
    <col customWidth="1" min="9" max="22" width="3.88"/>
  </cols>
  <sheetData>
    <row r="1" ht="24.0" customHeight="1">
      <c r="A1" s="139" t="s">
        <v>148</v>
      </c>
      <c r="F1" s="39"/>
      <c r="G1" s="140" t="s">
        <v>62</v>
      </c>
      <c r="H1" s="141">
        <v>46125.0</v>
      </c>
      <c r="I1" s="45" t="s">
        <v>63</v>
      </c>
      <c r="V1" s="46"/>
    </row>
    <row r="2" ht="17.25" customHeight="1">
      <c r="A2" s="47" t="s">
        <v>64</v>
      </c>
      <c r="B2" s="48" t="s">
        <v>65</v>
      </c>
      <c r="C2" s="48" t="s">
        <v>66</v>
      </c>
      <c r="D2" s="48" t="s">
        <v>67</v>
      </c>
      <c r="E2" s="49" t="s">
        <v>68</v>
      </c>
      <c r="F2" s="50" t="s">
        <v>65</v>
      </c>
      <c r="G2" s="51" t="s">
        <v>69</v>
      </c>
      <c r="H2" s="52" t="s">
        <v>70</v>
      </c>
      <c r="I2" s="53">
        <f>H1</f>
        <v>46125</v>
      </c>
      <c r="J2" s="53">
        <f t="shared" ref="J2:V2" si="1">I2+1</f>
        <v>46126</v>
      </c>
      <c r="K2" s="53">
        <f t="shared" si="1"/>
        <v>46127</v>
      </c>
      <c r="L2" s="53">
        <f t="shared" si="1"/>
        <v>46128</v>
      </c>
      <c r="M2" s="53">
        <f t="shared" si="1"/>
        <v>46129</v>
      </c>
      <c r="N2" s="53">
        <f t="shared" si="1"/>
        <v>46130</v>
      </c>
      <c r="O2" s="53">
        <f t="shared" si="1"/>
        <v>46131</v>
      </c>
      <c r="P2" s="53">
        <f t="shared" si="1"/>
        <v>46132</v>
      </c>
      <c r="Q2" s="53">
        <f t="shared" si="1"/>
        <v>46133</v>
      </c>
      <c r="R2" s="53">
        <f t="shared" si="1"/>
        <v>46134</v>
      </c>
      <c r="S2" s="53">
        <f t="shared" si="1"/>
        <v>46135</v>
      </c>
      <c r="T2" s="53">
        <f t="shared" si="1"/>
        <v>46136</v>
      </c>
      <c r="U2" s="53">
        <f t="shared" si="1"/>
        <v>46137</v>
      </c>
      <c r="V2" s="53">
        <f t="shared" si="1"/>
        <v>46138</v>
      </c>
    </row>
    <row r="3" ht="22.5" hidden="1" customHeight="1">
      <c r="A3" s="54"/>
      <c r="B3" s="55">
        <v>0.0</v>
      </c>
      <c r="C3" s="56">
        <v>0.0</v>
      </c>
      <c r="D3" s="56">
        <v>0.0</v>
      </c>
      <c r="E3" s="108"/>
      <c r="F3" s="58"/>
      <c r="G3" s="59"/>
      <c r="H3" s="60"/>
      <c r="I3" s="142"/>
      <c r="J3" s="142"/>
      <c r="K3" s="59"/>
      <c r="L3" s="59"/>
      <c r="M3" s="59"/>
      <c r="N3" s="143"/>
      <c r="O3" s="143"/>
      <c r="P3" s="59"/>
      <c r="Q3" s="59"/>
      <c r="R3" s="59"/>
      <c r="S3" s="59"/>
      <c r="T3" s="59"/>
      <c r="U3" s="144"/>
      <c r="V3" s="145"/>
    </row>
    <row r="4" ht="22.5" hidden="1" customHeight="1">
      <c r="A4" s="46"/>
      <c r="B4" s="66"/>
      <c r="E4" s="108"/>
      <c r="F4" s="58"/>
      <c r="G4" s="59"/>
      <c r="H4" s="60"/>
      <c r="I4" s="142"/>
      <c r="J4" s="142"/>
      <c r="K4" s="59"/>
      <c r="L4" s="59"/>
      <c r="M4" s="59"/>
      <c r="N4" s="143"/>
      <c r="O4" s="143"/>
      <c r="P4" s="59"/>
      <c r="Q4" s="59"/>
      <c r="R4" s="59"/>
      <c r="S4" s="59"/>
      <c r="T4" s="59"/>
      <c r="U4" s="144"/>
      <c r="V4" s="145"/>
    </row>
    <row r="5" ht="22.5" hidden="1" customHeight="1">
      <c r="A5" s="46"/>
      <c r="B5" s="66"/>
      <c r="E5" s="108"/>
      <c r="F5" s="58"/>
      <c r="G5" s="59"/>
      <c r="H5" s="60"/>
      <c r="I5" s="142"/>
      <c r="J5" s="142"/>
      <c r="K5" s="59"/>
      <c r="L5" s="59"/>
      <c r="M5" s="59"/>
      <c r="N5" s="143"/>
      <c r="O5" s="143"/>
      <c r="P5" s="59"/>
      <c r="Q5" s="59"/>
      <c r="R5" s="59"/>
      <c r="S5" s="59"/>
      <c r="T5" s="59"/>
      <c r="U5" s="144"/>
      <c r="V5" s="145"/>
    </row>
    <row r="6" ht="22.5" hidden="1" customHeight="1">
      <c r="A6" s="46"/>
      <c r="B6" s="66"/>
      <c r="E6" s="108"/>
      <c r="F6" s="58"/>
      <c r="G6" s="59"/>
      <c r="H6" s="60"/>
      <c r="I6" s="142"/>
      <c r="J6" s="142"/>
      <c r="K6" s="59"/>
      <c r="L6" s="59"/>
      <c r="M6" s="59"/>
      <c r="N6" s="143"/>
      <c r="O6" s="143"/>
      <c r="P6" s="59"/>
      <c r="Q6" s="59"/>
      <c r="R6" s="59"/>
      <c r="S6" s="59"/>
      <c r="T6" s="59"/>
      <c r="U6" s="144"/>
      <c r="V6" s="145"/>
    </row>
    <row r="7" ht="22.5" hidden="1" customHeight="1">
      <c r="A7" s="46"/>
      <c r="B7" s="66"/>
      <c r="E7" s="108"/>
      <c r="F7" s="58"/>
      <c r="G7" s="59"/>
      <c r="H7" s="60"/>
      <c r="I7" s="142"/>
      <c r="J7" s="142"/>
      <c r="K7" s="59"/>
      <c r="L7" s="59"/>
      <c r="M7" s="59"/>
      <c r="N7" s="143"/>
      <c r="O7" s="143"/>
      <c r="P7" s="59"/>
      <c r="Q7" s="59"/>
      <c r="R7" s="59"/>
      <c r="S7" s="59"/>
      <c r="T7" s="59"/>
      <c r="U7" s="144"/>
      <c r="V7" s="145"/>
    </row>
    <row r="8" ht="22.5" hidden="1" customHeight="1">
      <c r="A8" s="46"/>
      <c r="B8" s="66"/>
      <c r="E8" s="108"/>
      <c r="F8" s="58"/>
      <c r="G8" s="59"/>
      <c r="H8" s="60"/>
      <c r="I8" s="142"/>
      <c r="J8" s="142"/>
      <c r="K8" s="59"/>
      <c r="L8" s="59"/>
      <c r="M8" s="59"/>
      <c r="N8" s="143"/>
      <c r="O8" s="143"/>
      <c r="P8" s="59"/>
      <c r="Q8" s="59"/>
      <c r="R8" s="59"/>
      <c r="S8" s="59"/>
      <c r="T8" s="59"/>
      <c r="U8" s="144"/>
      <c r="V8" s="145"/>
    </row>
    <row r="9" ht="22.5" hidden="1" customHeight="1">
      <c r="A9" s="46"/>
      <c r="B9" s="66"/>
      <c r="E9" s="108"/>
      <c r="F9" s="58"/>
      <c r="G9" s="59"/>
      <c r="H9" s="60"/>
      <c r="I9" s="142"/>
      <c r="J9" s="142"/>
      <c r="K9" s="59"/>
      <c r="L9" s="59"/>
      <c r="M9" s="59"/>
      <c r="N9" s="143"/>
      <c r="O9" s="143"/>
      <c r="P9" s="59"/>
      <c r="Q9" s="59"/>
      <c r="R9" s="59"/>
      <c r="S9" s="59"/>
      <c r="T9" s="59"/>
      <c r="U9" s="144"/>
      <c r="V9" s="145"/>
    </row>
    <row r="10" ht="22.5" hidden="1" customHeight="1">
      <c r="A10" s="46"/>
      <c r="B10" s="66"/>
      <c r="E10" s="108"/>
      <c r="F10" s="58"/>
      <c r="G10" s="59"/>
      <c r="H10" s="60"/>
      <c r="I10" s="142"/>
      <c r="J10" s="142"/>
      <c r="K10" s="59"/>
      <c r="L10" s="59"/>
      <c r="M10" s="59"/>
      <c r="N10" s="143"/>
      <c r="O10" s="143"/>
      <c r="P10" s="59"/>
      <c r="Q10" s="59"/>
      <c r="R10" s="59"/>
      <c r="S10" s="59"/>
      <c r="T10" s="59"/>
      <c r="U10" s="144"/>
      <c r="V10" s="145"/>
    </row>
    <row r="11" ht="22.5" hidden="1" customHeight="1">
      <c r="A11" s="46"/>
      <c r="B11" s="66"/>
      <c r="E11" s="108"/>
      <c r="F11" s="58"/>
      <c r="G11" s="59"/>
      <c r="H11" s="60"/>
      <c r="I11" s="142"/>
      <c r="J11" s="142"/>
      <c r="K11" s="59"/>
      <c r="L11" s="59"/>
      <c r="M11" s="59"/>
      <c r="N11" s="143"/>
      <c r="O11" s="143"/>
      <c r="P11" s="59"/>
      <c r="Q11" s="59"/>
      <c r="R11" s="59"/>
      <c r="S11" s="59"/>
      <c r="T11" s="59"/>
      <c r="U11" s="144"/>
      <c r="V11" s="145"/>
    </row>
    <row r="12" ht="22.5" hidden="1" customHeight="1">
      <c r="A12" s="46"/>
      <c r="B12" s="66"/>
      <c r="E12" s="108"/>
      <c r="F12" s="58"/>
      <c r="G12" s="59"/>
      <c r="H12" s="60"/>
      <c r="I12" s="142"/>
      <c r="J12" s="142"/>
      <c r="K12" s="59"/>
      <c r="L12" s="59"/>
      <c r="M12" s="59"/>
      <c r="N12" s="143"/>
      <c r="O12" s="143"/>
      <c r="P12" s="59"/>
      <c r="Q12" s="59"/>
      <c r="R12" s="59"/>
      <c r="S12" s="59"/>
      <c r="T12" s="59"/>
      <c r="U12" s="144"/>
      <c r="V12" s="145"/>
    </row>
    <row r="13" ht="22.5" hidden="1" customHeight="1">
      <c r="A13" s="46"/>
      <c r="B13" s="66"/>
      <c r="E13" s="108"/>
      <c r="F13" s="58"/>
      <c r="G13" s="59"/>
      <c r="H13" s="60"/>
      <c r="I13" s="142"/>
      <c r="J13" s="142"/>
      <c r="K13" s="59"/>
      <c r="L13" s="59"/>
      <c r="M13" s="59"/>
      <c r="N13" s="143"/>
      <c r="O13" s="143"/>
      <c r="P13" s="59"/>
      <c r="Q13" s="59"/>
      <c r="R13" s="59"/>
      <c r="S13" s="59"/>
      <c r="T13" s="59"/>
      <c r="U13" s="144"/>
      <c r="V13" s="145"/>
    </row>
    <row r="14" ht="22.5" hidden="1" customHeight="1">
      <c r="A14" s="46"/>
      <c r="B14" s="66"/>
      <c r="E14" s="108"/>
      <c r="F14" s="58"/>
      <c r="G14" s="59"/>
      <c r="H14" s="60"/>
      <c r="I14" s="142"/>
      <c r="J14" s="142"/>
      <c r="K14" s="59"/>
      <c r="L14" s="59"/>
      <c r="M14" s="59"/>
      <c r="N14" s="143"/>
      <c r="O14" s="143"/>
      <c r="P14" s="59"/>
      <c r="Q14" s="59"/>
      <c r="R14" s="59"/>
      <c r="S14" s="59"/>
      <c r="T14" s="59"/>
      <c r="U14" s="144"/>
      <c r="V14" s="145"/>
    </row>
    <row r="15" ht="22.5" hidden="1" customHeight="1">
      <c r="A15" s="46"/>
      <c r="B15" s="66"/>
      <c r="E15" s="108"/>
      <c r="F15" s="58"/>
      <c r="G15" s="59"/>
      <c r="H15" s="60"/>
      <c r="I15" s="142"/>
      <c r="J15" s="142"/>
      <c r="K15" s="59"/>
      <c r="L15" s="59"/>
      <c r="M15" s="59"/>
      <c r="N15" s="143"/>
      <c r="O15" s="143"/>
      <c r="P15" s="59"/>
      <c r="Q15" s="59"/>
      <c r="R15" s="59"/>
      <c r="S15" s="59"/>
      <c r="T15" s="59"/>
      <c r="U15" s="144"/>
      <c r="V15" s="145"/>
    </row>
    <row r="16" ht="22.5" hidden="1" customHeight="1">
      <c r="A16" s="46"/>
      <c r="B16" s="66"/>
      <c r="E16" s="108"/>
      <c r="F16" s="58"/>
      <c r="G16" s="59"/>
      <c r="H16" s="60"/>
      <c r="I16" s="142"/>
      <c r="J16" s="142"/>
      <c r="K16" s="59"/>
      <c r="L16" s="59"/>
      <c r="M16" s="59"/>
      <c r="N16" s="143"/>
      <c r="O16" s="143"/>
      <c r="P16" s="59"/>
      <c r="Q16" s="59"/>
      <c r="R16" s="59"/>
      <c r="S16" s="59"/>
      <c r="T16" s="59"/>
      <c r="U16" s="144"/>
      <c r="V16" s="145"/>
    </row>
    <row r="17" ht="22.5" hidden="1" customHeight="1">
      <c r="A17" s="46"/>
      <c r="B17" s="66"/>
      <c r="E17" s="108"/>
      <c r="F17" s="58"/>
      <c r="G17" s="59"/>
      <c r="H17" s="60"/>
      <c r="I17" s="142"/>
      <c r="J17" s="142"/>
      <c r="K17" s="59"/>
      <c r="L17" s="59"/>
      <c r="M17" s="59"/>
      <c r="N17" s="143"/>
      <c r="O17" s="143"/>
      <c r="P17" s="59"/>
      <c r="Q17" s="59"/>
      <c r="R17" s="59"/>
      <c r="S17" s="59"/>
      <c r="T17" s="59"/>
      <c r="U17" s="144"/>
      <c r="V17" s="145"/>
    </row>
    <row r="18" ht="22.5" customHeight="1">
      <c r="A18" s="146" t="s">
        <v>149</v>
      </c>
      <c r="B18" s="68">
        <f>SUM(F18:F23)</f>
        <v>16</v>
      </c>
      <c r="C18" s="68">
        <f>IF(B18&lt;SUM(I18:I23, J18:J23, K18:K23,L18:L23,M18:M23,N18:N23,O18:O23,P18:P23,Q18:Q23,R18:R23,S18:S23,T18:T23,U18:U23,V18:V23),SUM(I18:I23, J18:J23, K18:K23,L18:L23,M18:M23,N18:N23,O18:O23,P18:P23,Q18:Q23,R18:R23,S18:S23,T18:T23,U18:U23,V18:V23),B18)</f>
        <v>16</v>
      </c>
      <c r="D18" s="69">
        <f>IF(C18&gt;B18,$C18-(SUM(I18:I23, J18:J23, K18:K23,L18:L23,M18:M23,N18:N23,O18:O23,P18:P23,Q18:Q23,R18:R23,S18:S23,T18:T23,U18:U23,V18:V23)),$B18-(SUM(I18:I23, J18:J23, K18:K23,L18:L23,M18:M23,N18:N23,O18:O23,P18:P23,Q18:Q23,R18:R23,S18:S23,T18:T23,U18:U23,V18:V23)))</f>
        <v>16</v>
      </c>
      <c r="E18" s="147" t="s">
        <v>150</v>
      </c>
      <c r="F18" s="71">
        <v>3.0</v>
      </c>
      <c r="G18" s="72" t="s">
        <v>73</v>
      </c>
      <c r="H18" s="73" t="s">
        <v>133</v>
      </c>
      <c r="I18" s="148"/>
      <c r="J18" s="148"/>
      <c r="K18" s="59"/>
      <c r="L18" s="59"/>
      <c r="M18" s="59"/>
      <c r="N18" s="143"/>
      <c r="O18" s="143"/>
      <c r="P18" s="59"/>
      <c r="Q18" s="59"/>
      <c r="R18" s="59"/>
      <c r="S18" s="59"/>
      <c r="T18" s="59"/>
      <c r="U18" s="172"/>
      <c r="V18" s="145"/>
    </row>
    <row r="19" ht="22.5" customHeight="1">
      <c r="A19" s="76"/>
      <c r="B19" s="76"/>
      <c r="C19" s="76"/>
      <c r="D19" s="77"/>
      <c r="E19" s="147" t="s">
        <v>151</v>
      </c>
      <c r="F19" s="71">
        <v>3.0</v>
      </c>
      <c r="G19" s="72" t="s">
        <v>76</v>
      </c>
      <c r="H19" s="73" t="s">
        <v>133</v>
      </c>
      <c r="I19" s="142"/>
      <c r="J19" s="149"/>
      <c r="K19" s="114"/>
      <c r="L19" s="59"/>
      <c r="M19" s="59"/>
      <c r="N19" s="143"/>
      <c r="O19" s="143"/>
      <c r="P19" s="59"/>
      <c r="Q19" s="59"/>
      <c r="R19" s="59"/>
      <c r="S19" s="59"/>
      <c r="T19" s="59"/>
      <c r="U19" s="144"/>
      <c r="V19" s="145"/>
    </row>
    <row r="20" ht="22.5" customHeight="1">
      <c r="A20" s="76"/>
      <c r="B20" s="76"/>
      <c r="C20" s="76"/>
      <c r="D20" s="77"/>
      <c r="E20" s="147" t="s">
        <v>152</v>
      </c>
      <c r="F20" s="71">
        <v>3.0</v>
      </c>
      <c r="G20" s="72" t="s">
        <v>78</v>
      </c>
      <c r="H20" s="73" t="s">
        <v>133</v>
      </c>
      <c r="I20" s="142"/>
      <c r="J20" s="142"/>
      <c r="K20" s="59"/>
      <c r="L20" s="59"/>
      <c r="M20" s="114"/>
      <c r="N20" s="143"/>
      <c r="O20" s="143"/>
      <c r="P20" s="59"/>
      <c r="Q20" s="59"/>
      <c r="R20" s="59"/>
      <c r="S20" s="59"/>
      <c r="T20" s="59"/>
      <c r="U20" s="144"/>
      <c r="V20" s="145"/>
    </row>
    <row r="21" ht="22.5" customHeight="1">
      <c r="A21" s="76"/>
      <c r="B21" s="76"/>
      <c r="C21" s="76"/>
      <c r="D21" s="77"/>
      <c r="E21" s="147" t="s">
        <v>153</v>
      </c>
      <c r="F21" s="71">
        <v>2.0</v>
      </c>
      <c r="G21" s="72" t="s">
        <v>73</v>
      </c>
      <c r="H21" s="73" t="s">
        <v>133</v>
      </c>
      <c r="I21" s="142"/>
      <c r="J21" s="142"/>
      <c r="K21" s="59"/>
      <c r="L21" s="114"/>
      <c r="M21" s="114"/>
      <c r="N21" s="143"/>
      <c r="O21" s="143"/>
      <c r="P21" s="59"/>
      <c r="Q21" s="59"/>
      <c r="R21" s="59"/>
      <c r="S21" s="59"/>
      <c r="T21" s="59"/>
      <c r="U21" s="144"/>
      <c r="V21" s="145"/>
    </row>
    <row r="22" ht="22.5" customHeight="1">
      <c r="A22" s="76"/>
      <c r="B22" s="76"/>
      <c r="C22" s="76"/>
      <c r="D22" s="77"/>
      <c r="E22" s="147" t="s">
        <v>154</v>
      </c>
      <c r="F22" s="71">
        <v>3.0</v>
      </c>
      <c r="G22" s="72" t="s">
        <v>76</v>
      </c>
      <c r="H22" s="73" t="s">
        <v>133</v>
      </c>
      <c r="I22" s="142"/>
      <c r="J22" s="142"/>
      <c r="K22" s="72"/>
      <c r="L22" s="59"/>
      <c r="M22" s="59"/>
      <c r="N22" s="143"/>
      <c r="O22" s="143"/>
      <c r="P22" s="114"/>
      <c r="Q22" s="59"/>
      <c r="R22" s="59"/>
      <c r="S22" s="59"/>
      <c r="T22" s="59"/>
      <c r="U22" s="144"/>
      <c r="V22" s="145"/>
    </row>
    <row r="23" ht="22.5" customHeight="1">
      <c r="A23" s="80"/>
      <c r="B23" s="80"/>
      <c r="C23" s="80"/>
      <c r="D23" s="81"/>
      <c r="E23" s="147" t="s">
        <v>155</v>
      </c>
      <c r="F23" s="82">
        <v>2.0</v>
      </c>
      <c r="G23" s="72" t="s">
        <v>78</v>
      </c>
      <c r="H23" s="73" t="s">
        <v>133</v>
      </c>
      <c r="I23" s="142"/>
      <c r="J23" s="142"/>
      <c r="K23" s="59"/>
      <c r="L23" s="59"/>
      <c r="M23" s="59"/>
      <c r="N23" s="143"/>
      <c r="O23" s="143"/>
      <c r="P23" s="59"/>
      <c r="Q23" s="59"/>
      <c r="R23" s="59"/>
      <c r="S23" s="59"/>
      <c r="T23" s="59"/>
      <c r="U23" s="144"/>
      <c r="V23" s="145"/>
    </row>
    <row r="24" ht="22.5" customHeight="1">
      <c r="A24" s="146" t="s">
        <v>156</v>
      </c>
      <c r="B24" s="68">
        <f>SUM(F24:F26)</f>
        <v>7</v>
      </c>
      <c r="C24" s="68">
        <f>IF(B24&lt;SUM(I24:I26, J24:J26, K24:K26,L24:L26,M24:M26,N24:N26,O24:O26,P24:P26,Q24:Q26,R24:R26,S24:S26,T24:T26,U24:U26,V24:V26),SUM(I24:I26, J24:J26, K24:K26,L24:L26,M24:M26,N24:N26,O24:O26,P24:P26,Q24:Q26,R24:R26,S24:S26,T24:T26,U24:U26,V24:V26),B24)</f>
        <v>7</v>
      </c>
      <c r="D24" s="69">
        <f>IF(C24&gt;B24,$C24-(SUM(I24:I26, J24:J26, K24:K26,L24:L26,M24:M26,N24:N26,O24:O26,P24:P26,Q24:Q26,R24:R26,S24:S26,T24:T26,U24:U26,V24:V26)),$B24-(SUM(I24:I26, J24:J26, K24:K26,L24:L26,M24:M26,N24:N26,O24:O26,P24:P26,Q24:Q26,R24:R26,S24:S26,T24:T26,U24:U26,V24:V26)))</f>
        <v>7</v>
      </c>
      <c r="E24" s="147" t="s">
        <v>157</v>
      </c>
      <c r="F24" s="82">
        <v>2.0</v>
      </c>
      <c r="G24" s="72" t="s">
        <v>78</v>
      </c>
      <c r="H24" s="73" t="s">
        <v>133</v>
      </c>
      <c r="I24" s="142"/>
      <c r="J24" s="142"/>
      <c r="K24" s="59"/>
      <c r="L24" s="114"/>
      <c r="M24" s="59"/>
      <c r="N24" s="143"/>
      <c r="O24" s="143"/>
      <c r="P24" s="59"/>
      <c r="Q24" s="59"/>
      <c r="R24" s="59"/>
      <c r="S24" s="59"/>
      <c r="T24" s="59"/>
      <c r="U24" s="144"/>
      <c r="V24" s="145"/>
    </row>
    <row r="25" ht="22.5" customHeight="1">
      <c r="A25" s="76"/>
      <c r="B25" s="76"/>
      <c r="C25" s="76"/>
      <c r="D25" s="77"/>
      <c r="E25" s="147" t="s">
        <v>158</v>
      </c>
      <c r="F25" s="71">
        <v>3.0</v>
      </c>
      <c r="G25" s="72" t="s">
        <v>76</v>
      </c>
      <c r="H25" s="73" t="s">
        <v>133</v>
      </c>
      <c r="I25" s="148"/>
      <c r="J25" s="148"/>
      <c r="K25" s="59"/>
      <c r="L25" s="59"/>
      <c r="M25" s="72"/>
      <c r="N25" s="143"/>
      <c r="O25" s="143"/>
      <c r="P25" s="59"/>
      <c r="Q25" s="59"/>
      <c r="R25" s="59"/>
      <c r="S25" s="59"/>
      <c r="T25" s="59"/>
      <c r="U25" s="144"/>
      <c r="V25" s="145"/>
    </row>
    <row r="26" ht="22.5" customHeight="1">
      <c r="A26" s="80"/>
      <c r="B26" s="80"/>
      <c r="C26" s="80"/>
      <c r="D26" s="81"/>
      <c r="E26" s="147" t="s">
        <v>159</v>
      </c>
      <c r="F26" s="71">
        <v>2.0</v>
      </c>
      <c r="G26" s="72" t="s">
        <v>73</v>
      </c>
      <c r="H26" s="169" t="s">
        <v>133</v>
      </c>
      <c r="I26" s="142"/>
      <c r="J26" s="142"/>
      <c r="K26" s="59"/>
      <c r="L26" s="59"/>
      <c r="M26" s="72"/>
      <c r="N26" s="150"/>
      <c r="O26" s="143"/>
      <c r="P26" s="59"/>
      <c r="Q26" s="59"/>
      <c r="R26" s="59"/>
      <c r="S26" s="59"/>
      <c r="T26" s="59"/>
      <c r="U26" s="144"/>
      <c r="V26" s="145"/>
    </row>
    <row r="27" ht="22.5" customHeight="1">
      <c r="A27" s="146" t="s">
        <v>160</v>
      </c>
      <c r="B27" s="68">
        <f>SUM(F27:F30)</f>
        <v>11</v>
      </c>
      <c r="C27" s="68">
        <f>IF(B27&lt;SUM(I27:I30, J27:J30, K27:K30,L27:L30,M27:M30,N27:N30,O27:O30,P27:P30,Q27:Q30,R27:R30,S27:S30,T27:T30,U27:U30,V27:V30),SUM(I27:I30, J27:J30, K27:K30,L27:L30,M27:M30,N27:N30,O27:O30,P27:P30,Q27:Q30,R27:R30,S27:S30,T27:T30,U27:U30,V27:V30),B27)</f>
        <v>11</v>
      </c>
      <c r="D27" s="69">
        <f>IF(C27&gt;B27,$C27-(SUM(I27:I30, J27:J30, K27:K30,L27:L30,M27:M30,N27:N30,O27:O30,P27:P30,Q27:Q30,R27:R30,S27:S30,T27:T30,U27:U30,V27:V30)),$B27-(SUM(I27:I30, J27:J30, K27:K30,L27:L30,M27:M30,N27:N30,O27:O30,P27:P30,Q27:Q30,R27:R30,S27:S30,T27:T30,U27:U30,V27:V30)))</f>
        <v>11</v>
      </c>
      <c r="E27" s="147" t="s">
        <v>161</v>
      </c>
      <c r="F27" s="71">
        <v>3.0</v>
      </c>
      <c r="G27" s="72" t="s">
        <v>73</v>
      </c>
      <c r="H27" s="73" t="s">
        <v>133</v>
      </c>
      <c r="I27" s="142"/>
      <c r="J27" s="142"/>
      <c r="K27" s="114"/>
      <c r="L27" s="59"/>
      <c r="M27" s="59"/>
      <c r="N27" s="143"/>
      <c r="O27" s="143"/>
      <c r="P27" s="59"/>
      <c r="Q27" s="59"/>
      <c r="R27" s="59"/>
      <c r="S27" s="59"/>
      <c r="T27" s="59"/>
      <c r="U27" s="144"/>
      <c r="V27" s="145"/>
    </row>
    <row r="28" ht="22.5" customHeight="1">
      <c r="A28" s="76"/>
      <c r="B28" s="76"/>
      <c r="C28" s="76"/>
      <c r="D28" s="77"/>
      <c r="E28" s="147" t="s">
        <v>162</v>
      </c>
      <c r="F28" s="71">
        <v>3.0</v>
      </c>
      <c r="G28" s="72" t="s">
        <v>76</v>
      </c>
      <c r="H28" s="169" t="s">
        <v>133</v>
      </c>
      <c r="I28" s="148"/>
      <c r="J28" s="142"/>
      <c r="K28" s="59"/>
      <c r="L28" s="59"/>
      <c r="M28" s="59"/>
      <c r="N28" s="143"/>
      <c r="O28" s="143"/>
      <c r="P28" s="59"/>
      <c r="Q28" s="59"/>
      <c r="R28" s="59"/>
      <c r="S28" s="59"/>
      <c r="T28" s="59"/>
      <c r="U28" s="144"/>
      <c r="V28" s="145"/>
    </row>
    <row r="29" ht="22.5" customHeight="1">
      <c r="A29" s="76"/>
      <c r="B29" s="76"/>
      <c r="C29" s="76"/>
      <c r="D29" s="77"/>
      <c r="E29" s="147" t="s">
        <v>163</v>
      </c>
      <c r="F29" s="71">
        <v>3.0</v>
      </c>
      <c r="G29" s="72" t="s">
        <v>73</v>
      </c>
      <c r="H29" s="73" t="s">
        <v>133</v>
      </c>
      <c r="I29" s="142"/>
      <c r="J29" s="142"/>
      <c r="K29" s="149"/>
      <c r="L29" s="149"/>
      <c r="M29" s="149"/>
      <c r="N29" s="143"/>
      <c r="O29" s="143"/>
      <c r="P29" s="72"/>
      <c r="Q29" s="72"/>
      <c r="R29" s="59"/>
      <c r="S29" s="59"/>
      <c r="T29" s="59"/>
      <c r="U29" s="144"/>
      <c r="V29" s="145"/>
    </row>
    <row r="30" ht="22.5" customHeight="1">
      <c r="A30" s="80"/>
      <c r="B30" s="80"/>
      <c r="C30" s="80"/>
      <c r="D30" s="81"/>
      <c r="E30" s="151" t="s">
        <v>164</v>
      </c>
      <c r="F30" s="85">
        <v>2.0</v>
      </c>
      <c r="G30" s="86" t="s">
        <v>78</v>
      </c>
      <c r="H30" s="170" t="s">
        <v>133</v>
      </c>
      <c r="I30" s="153"/>
      <c r="J30" s="153"/>
      <c r="K30" s="154"/>
      <c r="L30" s="154"/>
      <c r="M30" s="154"/>
      <c r="N30" s="155"/>
      <c r="O30" s="155"/>
      <c r="P30" s="154"/>
      <c r="Q30" s="154"/>
      <c r="R30" s="86"/>
      <c r="S30" s="154"/>
      <c r="T30" s="154"/>
      <c r="U30" s="156"/>
      <c r="V30" s="157"/>
    </row>
    <row r="31" ht="22.5" customHeight="1">
      <c r="A31" s="95" t="s">
        <v>91</v>
      </c>
      <c r="B31" s="96">
        <f t="shared" ref="B31:D31" si="2">SUM(B3:B30)</f>
        <v>34</v>
      </c>
      <c r="C31" s="97">
        <f t="shared" si="2"/>
        <v>34</v>
      </c>
      <c r="D31" s="97">
        <f t="shared" si="2"/>
        <v>34</v>
      </c>
      <c r="E31" s="98"/>
      <c r="F31" s="99"/>
      <c r="G31" s="100"/>
      <c r="H31" s="101"/>
      <c r="I31" s="158">
        <f t="shared" ref="I31:V31" si="3">SUM(I3:I30)</f>
        <v>0</v>
      </c>
      <c r="J31" s="158">
        <f t="shared" si="3"/>
        <v>0</v>
      </c>
      <c r="K31" s="158">
        <f t="shared" si="3"/>
        <v>0</v>
      </c>
      <c r="L31" s="158">
        <f t="shared" si="3"/>
        <v>0</v>
      </c>
      <c r="M31" s="158">
        <f t="shared" si="3"/>
        <v>0</v>
      </c>
      <c r="N31" s="158">
        <f t="shared" si="3"/>
        <v>0</v>
      </c>
      <c r="O31" s="158">
        <f t="shared" si="3"/>
        <v>0</v>
      </c>
      <c r="P31" s="158">
        <f t="shared" si="3"/>
        <v>0</v>
      </c>
      <c r="Q31" s="158">
        <f t="shared" si="3"/>
        <v>0</v>
      </c>
      <c r="R31" s="158">
        <f t="shared" si="3"/>
        <v>0</v>
      </c>
      <c r="S31" s="158">
        <f t="shared" si="3"/>
        <v>0</v>
      </c>
      <c r="T31" s="158">
        <f t="shared" si="3"/>
        <v>0</v>
      </c>
      <c r="U31" s="158">
        <f t="shared" si="3"/>
        <v>0</v>
      </c>
      <c r="V31" s="159">
        <f t="shared" si="3"/>
        <v>0</v>
      </c>
    </row>
    <row r="32">
      <c r="A32" s="104" t="s">
        <v>92</v>
      </c>
      <c r="B32" s="105">
        <f>B31-SUM(I32:V32)</f>
        <v>34</v>
      </c>
      <c r="C32" s="106">
        <f>B32/B31</f>
        <v>1</v>
      </c>
      <c r="D32" s="107"/>
      <c r="E32" s="108"/>
      <c r="F32" s="58"/>
      <c r="G32" s="59"/>
      <c r="H32" s="60"/>
      <c r="I32" s="160">
        <f>SUM('Team members'!$B:$B)</f>
        <v>0</v>
      </c>
      <c r="J32" s="161">
        <f>SUM('Team members'!$B:$B)</f>
        <v>0</v>
      </c>
      <c r="K32" s="161">
        <f>SUM('Team members'!$B:$B)</f>
        <v>0</v>
      </c>
      <c r="L32" s="161">
        <f>SUM('Team members'!$B:$B)</f>
        <v>0</v>
      </c>
      <c r="M32" s="161">
        <f>SUM('Team members'!$B:$B)</f>
        <v>0</v>
      </c>
      <c r="N32" s="162">
        <v>0.0</v>
      </c>
      <c r="O32" s="162">
        <v>0.0</v>
      </c>
      <c r="P32" s="161">
        <f>SUM('Team members'!$B:$B)</f>
        <v>0</v>
      </c>
      <c r="Q32" s="161">
        <f>SUM('Team members'!$B:$B)</f>
        <v>0</v>
      </c>
      <c r="R32" s="161">
        <f>SUM('Team members'!$B:$B)</f>
        <v>0</v>
      </c>
      <c r="S32" s="161">
        <f>SUM('Team members'!$B:$B)</f>
        <v>0</v>
      </c>
      <c r="T32" s="161">
        <f>SUM('Team members'!$B:$B)</f>
        <v>0</v>
      </c>
      <c r="U32" s="162">
        <v>0.0</v>
      </c>
      <c r="V32" s="163">
        <v>0.0</v>
      </c>
    </row>
    <row r="33">
      <c r="A33" s="164" t="s">
        <v>93</v>
      </c>
      <c r="B33" s="107"/>
      <c r="C33" s="107"/>
      <c r="D33" s="107"/>
      <c r="E33" s="108"/>
      <c r="F33" s="58"/>
      <c r="G33" s="114" t="s">
        <v>94</v>
      </c>
      <c r="H33" s="115">
        <f>B31</f>
        <v>34</v>
      </c>
      <c r="I33" s="165">
        <f t="shared" ref="I33:V33" si="4">MAX(H33-I32,0)</f>
        <v>34</v>
      </c>
      <c r="J33" s="165">
        <f t="shared" si="4"/>
        <v>34</v>
      </c>
      <c r="K33" s="165">
        <f t="shared" si="4"/>
        <v>34</v>
      </c>
      <c r="L33" s="165">
        <f t="shared" si="4"/>
        <v>34</v>
      </c>
      <c r="M33" s="165">
        <f t="shared" si="4"/>
        <v>34</v>
      </c>
      <c r="N33" s="165">
        <f t="shared" si="4"/>
        <v>34</v>
      </c>
      <c r="O33" s="165">
        <f t="shared" si="4"/>
        <v>34</v>
      </c>
      <c r="P33" s="165">
        <f t="shared" si="4"/>
        <v>34</v>
      </c>
      <c r="Q33" s="165">
        <f t="shared" si="4"/>
        <v>34</v>
      </c>
      <c r="R33" s="165">
        <f t="shared" si="4"/>
        <v>34</v>
      </c>
      <c r="S33" s="165">
        <f t="shared" si="4"/>
        <v>34</v>
      </c>
      <c r="T33" s="165">
        <f t="shared" si="4"/>
        <v>34</v>
      </c>
      <c r="U33" s="165">
        <f t="shared" si="4"/>
        <v>34</v>
      </c>
      <c r="V33" s="165">
        <f t="shared" si="4"/>
        <v>34</v>
      </c>
    </row>
    <row r="34">
      <c r="A34" s="166" t="s">
        <v>95</v>
      </c>
      <c r="B34" s="118"/>
      <c r="C34" s="118"/>
      <c r="D34" s="118"/>
      <c r="E34" s="119"/>
      <c r="F34" s="120"/>
      <c r="G34" s="121" t="s">
        <v>96</v>
      </c>
      <c r="H34" s="122">
        <f>C31</f>
        <v>34</v>
      </c>
      <c r="I34" s="167">
        <f t="shared" ref="I34:V34" si="5">H34-I31</f>
        <v>34</v>
      </c>
      <c r="J34" s="167">
        <f t="shared" si="5"/>
        <v>34</v>
      </c>
      <c r="K34" s="167">
        <f t="shared" si="5"/>
        <v>34</v>
      </c>
      <c r="L34" s="167">
        <f t="shared" si="5"/>
        <v>34</v>
      </c>
      <c r="M34" s="167">
        <f t="shared" si="5"/>
        <v>34</v>
      </c>
      <c r="N34" s="167">
        <f t="shared" si="5"/>
        <v>34</v>
      </c>
      <c r="O34" s="167">
        <f t="shared" si="5"/>
        <v>34</v>
      </c>
      <c r="P34" s="167">
        <f t="shared" si="5"/>
        <v>34</v>
      </c>
      <c r="Q34" s="167">
        <f t="shared" si="5"/>
        <v>34</v>
      </c>
      <c r="R34" s="167">
        <f t="shared" si="5"/>
        <v>34</v>
      </c>
      <c r="S34" s="167">
        <f t="shared" si="5"/>
        <v>34</v>
      </c>
      <c r="T34" s="167">
        <f t="shared" si="5"/>
        <v>34</v>
      </c>
      <c r="U34" s="167">
        <f t="shared" si="5"/>
        <v>34</v>
      </c>
      <c r="V34" s="168">
        <f t="shared" si="5"/>
        <v>34</v>
      </c>
    </row>
    <row r="35">
      <c r="A35" s="125"/>
      <c r="B35" s="126"/>
      <c r="C35" s="126"/>
      <c r="D35" s="126"/>
      <c r="E35" s="127"/>
      <c r="F35" s="128"/>
      <c r="G35" s="129"/>
      <c r="H35" s="130"/>
      <c r="I35" s="131"/>
      <c r="J35" s="132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</row>
    <row r="36">
      <c r="A36" s="134" t="s">
        <v>97</v>
      </c>
      <c r="B36" s="135">
        <v>31.0</v>
      </c>
      <c r="C36" s="136"/>
      <c r="D36" s="136"/>
      <c r="E36" s="108"/>
      <c r="F36" s="58"/>
      <c r="G36" s="59"/>
      <c r="H36" s="137"/>
      <c r="I36" s="138"/>
      <c r="J36" s="41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ht="17.25" customHeight="1">
      <c r="A37" s="39"/>
      <c r="B37" s="107"/>
      <c r="C37" s="107"/>
      <c r="D37" s="107"/>
      <c r="E37" s="108"/>
      <c r="F37" s="58"/>
      <c r="G37" s="59"/>
      <c r="H37" s="137"/>
      <c r="I37" s="138"/>
      <c r="J37" s="41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ht="17.25" customHeight="1">
      <c r="A38" s="39"/>
      <c r="B38" s="107"/>
      <c r="C38" s="107"/>
      <c r="D38" s="107"/>
      <c r="E38" s="108"/>
      <c r="F38" s="58"/>
      <c r="G38" s="59"/>
      <c r="H38" s="137"/>
      <c r="I38" s="138"/>
      <c r="J38" s="41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>
      <c r="A39" s="39"/>
      <c r="B39" s="107"/>
      <c r="C39" s="107"/>
      <c r="D39" s="107"/>
      <c r="E39" s="108"/>
      <c r="F39" s="58"/>
      <c r="G39" s="59"/>
      <c r="H39" s="137"/>
      <c r="I39" s="138"/>
      <c r="J39" s="41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>
      <c r="A40" s="39"/>
      <c r="B40" s="107"/>
      <c r="C40" s="107"/>
      <c r="D40" s="107"/>
      <c r="E40" s="108"/>
      <c r="F40" s="58"/>
      <c r="G40" s="59"/>
      <c r="H40" s="137"/>
      <c r="I40" s="138"/>
      <c r="J40" s="41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>
      <c r="A41" s="39"/>
      <c r="B41" s="107"/>
      <c r="C41" s="107"/>
      <c r="D41" s="107"/>
      <c r="E41" s="108"/>
      <c r="F41" s="58"/>
      <c r="G41" s="59"/>
      <c r="H41" s="137"/>
      <c r="I41" s="138"/>
      <c r="J41" s="41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>
      <c r="A42" s="39"/>
      <c r="B42" s="107"/>
      <c r="C42" s="107"/>
      <c r="D42" s="107"/>
      <c r="E42" s="108"/>
      <c r="F42" s="58"/>
      <c r="G42" s="59"/>
      <c r="H42" s="137"/>
      <c r="I42" s="138"/>
      <c r="J42" s="41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>
      <c r="A43" s="39"/>
      <c r="B43" s="107"/>
      <c r="C43" s="107"/>
      <c r="D43" s="107"/>
      <c r="E43" s="108"/>
      <c r="F43" s="58"/>
      <c r="G43" s="59"/>
      <c r="H43" s="137"/>
      <c r="I43" s="138"/>
      <c r="J43" s="41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>
      <c r="A44" s="39"/>
      <c r="B44" s="107"/>
      <c r="C44" s="107"/>
      <c r="D44" s="107"/>
      <c r="E44" s="108"/>
      <c r="F44" s="58"/>
      <c r="G44" s="59"/>
      <c r="H44" s="137"/>
      <c r="I44" s="138"/>
      <c r="J44" s="41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>
      <c r="A45" s="39"/>
      <c r="B45" s="107"/>
      <c r="C45" s="107"/>
      <c r="D45" s="107"/>
      <c r="E45" s="108"/>
      <c r="F45" s="58"/>
      <c r="G45" s="59"/>
      <c r="H45" s="137"/>
      <c r="I45" s="138"/>
      <c r="J45" s="41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>
      <c r="A46" s="39"/>
      <c r="B46" s="107"/>
      <c r="C46" s="107"/>
      <c r="D46" s="107"/>
      <c r="E46" s="108"/>
      <c r="F46" s="58"/>
      <c r="G46" s="59"/>
      <c r="H46" s="137"/>
      <c r="I46" s="138"/>
      <c r="J46" s="41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>
      <c r="A47" s="39"/>
      <c r="B47" s="107"/>
      <c r="C47" s="107"/>
      <c r="D47" s="107"/>
      <c r="E47" s="108"/>
      <c r="F47" s="58"/>
      <c r="G47" s="59"/>
      <c r="H47" s="137"/>
      <c r="I47" s="138"/>
      <c r="J47" s="41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>
      <c r="A48" s="39"/>
      <c r="B48" s="107"/>
      <c r="C48" s="107"/>
      <c r="D48" s="107"/>
      <c r="E48" s="108"/>
      <c r="F48" s="58"/>
      <c r="G48" s="59"/>
      <c r="H48" s="137"/>
      <c r="I48" s="138"/>
      <c r="J48" s="41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>
      <c r="A49" s="39"/>
      <c r="B49" s="107"/>
      <c r="C49" s="107"/>
      <c r="D49" s="107"/>
      <c r="E49" s="108"/>
      <c r="F49" s="58"/>
      <c r="G49" s="59"/>
      <c r="H49" s="137"/>
      <c r="I49" s="138"/>
      <c r="J49" s="41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>
      <c r="A50" s="39"/>
      <c r="B50" s="107"/>
      <c r="C50" s="107"/>
      <c r="D50" s="107"/>
      <c r="E50" s="108"/>
      <c r="F50" s="58"/>
      <c r="G50" s="59"/>
      <c r="H50" s="137"/>
      <c r="I50" s="138"/>
      <c r="J50" s="41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>
      <c r="A51" s="39"/>
      <c r="B51" s="107"/>
      <c r="C51" s="107"/>
      <c r="D51" s="107"/>
      <c r="E51" s="108"/>
      <c r="F51" s="58"/>
      <c r="G51" s="59"/>
      <c r="H51" s="137"/>
      <c r="I51" s="138"/>
      <c r="J51" s="41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>
      <c r="A52" s="39"/>
      <c r="B52" s="107"/>
      <c r="C52" s="107"/>
      <c r="D52" s="107"/>
      <c r="E52" s="108"/>
      <c r="F52" s="58"/>
      <c r="G52" s="59"/>
      <c r="H52" s="137"/>
      <c r="I52" s="138"/>
      <c r="J52" s="41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>
      <c r="A53" s="39"/>
      <c r="B53" s="107"/>
      <c r="C53" s="107"/>
      <c r="D53" s="107"/>
      <c r="E53" s="108"/>
      <c r="F53" s="58"/>
      <c r="G53" s="59"/>
      <c r="H53" s="137"/>
      <c r="I53" s="138"/>
      <c r="J53" s="41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>
      <c r="A54" s="39"/>
      <c r="B54" s="107"/>
      <c r="C54" s="107"/>
      <c r="D54" s="107"/>
      <c r="E54" s="108"/>
      <c r="F54" s="58"/>
      <c r="G54" s="59"/>
      <c r="H54" s="137"/>
      <c r="I54" s="138"/>
      <c r="J54" s="41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>
      <c r="A55" s="39"/>
      <c r="B55" s="107"/>
      <c r="C55" s="107"/>
      <c r="D55" s="107"/>
      <c r="E55" s="108"/>
      <c r="F55" s="58"/>
      <c r="G55" s="59"/>
      <c r="H55" s="137"/>
      <c r="I55" s="138"/>
      <c r="J55" s="41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>
      <c r="A56" s="39"/>
      <c r="B56" s="107"/>
      <c r="C56" s="107"/>
      <c r="D56" s="107"/>
      <c r="E56" s="108"/>
      <c r="F56" s="58"/>
      <c r="G56" s="59"/>
      <c r="H56" s="137"/>
      <c r="I56" s="138"/>
      <c r="J56" s="41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>
      <c r="A57" s="39"/>
      <c r="B57" s="107"/>
      <c r="C57" s="107"/>
      <c r="D57" s="107"/>
      <c r="E57" s="108"/>
      <c r="F57" s="58"/>
      <c r="G57" s="59"/>
      <c r="H57" s="137"/>
      <c r="I57" s="138"/>
      <c r="J57" s="41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>
      <c r="A58" s="39"/>
      <c r="B58" s="107"/>
      <c r="C58" s="107"/>
      <c r="D58" s="107"/>
      <c r="E58" s="108"/>
      <c r="F58" s="58"/>
      <c r="G58" s="59"/>
      <c r="H58" s="137"/>
      <c r="I58" s="138"/>
      <c r="J58" s="41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>
      <c r="A59" s="39"/>
      <c r="B59" s="107"/>
      <c r="C59" s="107"/>
      <c r="D59" s="107"/>
      <c r="E59" s="108"/>
      <c r="F59" s="58"/>
      <c r="G59" s="59"/>
      <c r="H59" s="137"/>
      <c r="I59" s="138"/>
      <c r="J59" s="41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</row>
    <row r="60">
      <c r="A60" s="39"/>
      <c r="B60" s="107"/>
      <c r="C60" s="107"/>
      <c r="D60" s="107"/>
      <c r="E60" s="108"/>
      <c r="F60" s="58"/>
      <c r="G60" s="59"/>
      <c r="H60" s="137"/>
      <c r="I60" s="138"/>
      <c r="J60" s="41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>
      <c r="A61" s="39"/>
      <c r="B61" s="107"/>
      <c r="C61" s="107"/>
      <c r="D61" s="107"/>
      <c r="E61" s="108"/>
      <c r="F61" s="58"/>
      <c r="G61" s="59"/>
      <c r="H61" s="137"/>
      <c r="I61" s="138"/>
      <c r="J61" s="41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>
      <c r="A62" s="39"/>
      <c r="B62" s="107"/>
      <c r="C62" s="107"/>
      <c r="D62" s="107"/>
      <c r="E62" s="108"/>
      <c r="F62" s="58"/>
      <c r="G62" s="59"/>
      <c r="H62" s="137"/>
      <c r="I62" s="138"/>
      <c r="J62" s="41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>
      <c r="A63" s="39"/>
      <c r="B63" s="107"/>
      <c r="C63" s="107"/>
      <c r="D63" s="107"/>
      <c r="E63" s="108"/>
      <c r="F63" s="58"/>
      <c r="G63" s="59"/>
      <c r="H63" s="137"/>
      <c r="I63" s="138"/>
      <c r="J63" s="41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>
      <c r="A64" s="39"/>
      <c r="B64" s="107"/>
      <c r="C64" s="107"/>
      <c r="D64" s="107"/>
      <c r="E64" s="108"/>
      <c r="F64" s="58"/>
      <c r="G64" s="59"/>
      <c r="H64" s="137"/>
      <c r="I64" s="138"/>
      <c r="J64" s="41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>
      <c r="A65" s="39"/>
      <c r="B65" s="107"/>
      <c r="C65" s="107"/>
      <c r="D65" s="107"/>
      <c r="E65" s="108"/>
      <c r="F65" s="58"/>
      <c r="G65" s="59"/>
      <c r="H65" s="137"/>
      <c r="I65" s="138"/>
      <c r="J65" s="41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>
      <c r="A66" s="39"/>
      <c r="B66" s="107"/>
      <c r="C66" s="107"/>
      <c r="D66" s="107"/>
      <c r="E66" s="108"/>
      <c r="F66" s="58"/>
      <c r="G66" s="59"/>
      <c r="H66" s="137"/>
      <c r="I66" s="138"/>
      <c r="J66" s="41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>
      <c r="A67" s="39"/>
      <c r="B67" s="107"/>
      <c r="C67" s="107"/>
      <c r="D67" s="107"/>
      <c r="E67" s="108"/>
      <c r="F67" s="58"/>
      <c r="G67" s="59"/>
      <c r="H67" s="137"/>
      <c r="I67" s="138"/>
      <c r="J67" s="41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>
      <c r="A68" s="39"/>
      <c r="B68" s="107"/>
      <c r="C68" s="107"/>
      <c r="D68" s="107"/>
      <c r="E68" s="108"/>
      <c r="F68" s="58"/>
      <c r="G68" s="59"/>
      <c r="H68" s="137"/>
      <c r="I68" s="138"/>
      <c r="J68" s="41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>
      <c r="A69" s="39"/>
      <c r="B69" s="107"/>
      <c r="C69" s="107"/>
      <c r="D69" s="107"/>
      <c r="E69" s="108"/>
      <c r="F69" s="58"/>
      <c r="G69" s="59"/>
      <c r="H69" s="137"/>
      <c r="I69" s="138"/>
      <c r="J69" s="41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  <row r="70">
      <c r="A70" s="39"/>
      <c r="B70" s="107"/>
      <c r="C70" s="107"/>
      <c r="D70" s="107"/>
      <c r="E70" s="108"/>
      <c r="F70" s="58"/>
      <c r="G70" s="59"/>
      <c r="H70" s="137"/>
      <c r="I70" s="138"/>
      <c r="J70" s="41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>
      <c r="A71" s="39"/>
      <c r="B71" s="107"/>
      <c r="C71" s="107"/>
      <c r="D71" s="107"/>
      <c r="E71" s="108"/>
      <c r="F71" s="58"/>
      <c r="G71" s="59"/>
      <c r="H71" s="137"/>
      <c r="I71" s="138"/>
      <c r="J71" s="41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</row>
    <row r="72">
      <c r="A72" s="39"/>
      <c r="B72" s="107"/>
      <c r="C72" s="107"/>
      <c r="D72" s="107"/>
      <c r="E72" s="108"/>
      <c r="F72" s="58"/>
      <c r="G72" s="59"/>
      <c r="H72" s="137"/>
      <c r="I72" s="138"/>
      <c r="J72" s="41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</row>
    <row r="73">
      <c r="A73" s="39"/>
      <c r="B73" s="107"/>
      <c r="C73" s="107"/>
      <c r="D73" s="107"/>
      <c r="E73" s="108"/>
      <c r="F73" s="58"/>
      <c r="G73" s="59"/>
      <c r="H73" s="137"/>
      <c r="I73" s="138"/>
      <c r="J73" s="41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</row>
    <row r="74">
      <c r="A74" s="39"/>
      <c r="B74" s="107"/>
      <c r="C74" s="107"/>
      <c r="D74" s="107"/>
      <c r="E74" s="108"/>
      <c r="F74" s="58"/>
      <c r="G74" s="59"/>
      <c r="H74" s="137"/>
      <c r="I74" s="138"/>
      <c r="J74" s="41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</row>
    <row r="75">
      <c r="A75" s="39"/>
      <c r="B75" s="107"/>
      <c r="C75" s="107"/>
      <c r="D75" s="107"/>
      <c r="E75" s="108"/>
      <c r="F75" s="58"/>
      <c r="G75" s="59"/>
      <c r="H75" s="137"/>
      <c r="I75" s="138"/>
      <c r="J75" s="41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</row>
    <row r="76">
      <c r="A76" s="39"/>
      <c r="B76" s="107"/>
      <c r="C76" s="107"/>
      <c r="D76" s="107"/>
      <c r="E76" s="108"/>
      <c r="F76" s="58"/>
      <c r="G76" s="59"/>
      <c r="H76" s="137"/>
      <c r="I76" s="138"/>
      <c r="J76" s="41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</row>
    <row r="77">
      <c r="A77" s="39"/>
      <c r="B77" s="107"/>
      <c r="C77" s="107"/>
      <c r="D77" s="107"/>
      <c r="E77" s="108"/>
      <c r="F77" s="58"/>
      <c r="G77" s="59"/>
      <c r="H77" s="137"/>
      <c r="I77" s="138"/>
      <c r="J77" s="41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</row>
    <row r="78">
      <c r="A78" s="39"/>
      <c r="B78" s="107"/>
      <c r="C78" s="107"/>
      <c r="D78" s="107"/>
      <c r="E78" s="108"/>
      <c r="F78" s="58"/>
      <c r="G78" s="59"/>
      <c r="H78" s="137"/>
      <c r="I78" s="138"/>
      <c r="J78" s="4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</row>
    <row r="79">
      <c r="A79" s="39"/>
      <c r="B79" s="107"/>
      <c r="C79" s="107"/>
      <c r="D79" s="107"/>
      <c r="E79" s="108"/>
      <c r="F79" s="58"/>
      <c r="G79" s="59"/>
      <c r="H79" s="137"/>
      <c r="I79" s="138"/>
      <c r="J79" s="4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</row>
    <row r="80">
      <c r="A80" s="39"/>
      <c r="B80" s="107"/>
      <c r="C80" s="107"/>
      <c r="D80" s="107"/>
      <c r="E80" s="108"/>
      <c r="F80" s="58"/>
      <c r="G80" s="59"/>
      <c r="H80" s="137"/>
      <c r="I80" s="138"/>
      <c r="J80" s="41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</row>
    <row r="81">
      <c r="A81" s="39"/>
      <c r="B81" s="107"/>
      <c r="C81" s="107"/>
      <c r="D81" s="107"/>
      <c r="E81" s="108"/>
      <c r="F81" s="58"/>
      <c r="G81" s="59"/>
      <c r="H81" s="137"/>
      <c r="I81" s="138"/>
      <c r="J81" s="4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</row>
    <row r="82">
      <c r="A82" s="39"/>
      <c r="B82" s="107"/>
      <c r="C82" s="107"/>
      <c r="D82" s="107"/>
      <c r="E82" s="108"/>
      <c r="F82" s="58"/>
      <c r="G82" s="59"/>
      <c r="H82" s="137"/>
      <c r="I82" s="138"/>
      <c r="J82" s="4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</row>
    <row r="83">
      <c r="A83" s="39"/>
      <c r="B83" s="107"/>
      <c r="C83" s="107"/>
      <c r="D83" s="107"/>
      <c r="E83" s="108"/>
      <c r="F83" s="58"/>
      <c r="G83" s="59"/>
      <c r="H83" s="137"/>
      <c r="I83" s="138"/>
      <c r="J83" s="4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</row>
    <row r="84">
      <c r="A84" s="39"/>
      <c r="B84" s="107"/>
      <c r="C84" s="107"/>
      <c r="D84" s="107"/>
      <c r="E84" s="108"/>
      <c r="F84" s="58"/>
      <c r="G84" s="59"/>
      <c r="H84" s="137"/>
      <c r="I84" s="138"/>
      <c r="J84" s="4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</row>
    <row r="85">
      <c r="A85" s="39"/>
      <c r="B85" s="107"/>
      <c r="C85" s="107"/>
      <c r="D85" s="107"/>
      <c r="E85" s="108"/>
      <c r="F85" s="58"/>
      <c r="G85" s="59"/>
      <c r="H85" s="137"/>
      <c r="I85" s="138"/>
      <c r="J85" s="4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</row>
    <row r="86">
      <c r="A86" s="39"/>
      <c r="B86" s="107"/>
      <c r="C86" s="107"/>
      <c r="D86" s="107"/>
      <c r="E86" s="108"/>
      <c r="F86" s="58"/>
      <c r="G86" s="59"/>
      <c r="H86" s="137"/>
      <c r="I86" s="138"/>
      <c r="J86" s="4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</row>
    <row r="87">
      <c r="A87" s="39"/>
      <c r="B87" s="107"/>
      <c r="C87" s="107"/>
      <c r="D87" s="107"/>
      <c r="E87" s="108"/>
      <c r="F87" s="58"/>
      <c r="G87" s="59"/>
      <c r="H87" s="137"/>
      <c r="I87" s="138"/>
      <c r="J87" s="4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</row>
    <row r="88">
      <c r="A88" s="39"/>
      <c r="B88" s="107"/>
      <c r="C88" s="107"/>
      <c r="D88" s="107"/>
      <c r="E88" s="108"/>
      <c r="F88" s="58"/>
      <c r="G88" s="59"/>
      <c r="H88" s="137"/>
      <c r="I88" s="138"/>
      <c r="J88" s="4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</row>
    <row r="89">
      <c r="A89" s="39"/>
      <c r="B89" s="107"/>
      <c r="C89" s="107"/>
      <c r="D89" s="107"/>
      <c r="E89" s="108"/>
      <c r="F89" s="58"/>
      <c r="G89" s="59"/>
      <c r="H89" s="137"/>
      <c r="I89" s="138"/>
      <c r="J89" s="4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>
      <c r="A90" s="39"/>
      <c r="B90" s="107"/>
      <c r="C90" s="107"/>
      <c r="D90" s="107"/>
      <c r="E90" s="108"/>
      <c r="F90" s="58"/>
      <c r="G90" s="59"/>
      <c r="H90" s="137"/>
      <c r="I90" s="138"/>
      <c r="J90" s="4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</row>
    <row r="91">
      <c r="A91" s="39"/>
      <c r="B91" s="107"/>
      <c r="C91" s="107"/>
      <c r="D91" s="107"/>
      <c r="E91" s="108"/>
      <c r="F91" s="58"/>
      <c r="G91" s="59"/>
      <c r="H91" s="137"/>
      <c r="I91" s="138"/>
      <c r="J91" s="4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</sheetData>
  <mergeCells count="18">
    <mergeCell ref="A1:E1"/>
    <mergeCell ref="I1:V1"/>
    <mergeCell ref="A3:A17"/>
    <mergeCell ref="B3:B17"/>
    <mergeCell ref="C3:C17"/>
    <mergeCell ref="D3:D17"/>
    <mergeCell ref="A18:A23"/>
    <mergeCell ref="D18:D23"/>
    <mergeCell ref="B27:B30"/>
    <mergeCell ref="C27:C30"/>
    <mergeCell ref="B18:B23"/>
    <mergeCell ref="C18:C23"/>
    <mergeCell ref="A24:A26"/>
    <mergeCell ref="B24:B26"/>
    <mergeCell ref="C24:C26"/>
    <mergeCell ref="D24:D26"/>
    <mergeCell ref="A27:A30"/>
    <mergeCell ref="D27:D30"/>
  </mergeCells>
  <conditionalFormatting sqref="I1:V1">
    <cfRule type="cellIs" dxfId="0" priority="1" operator="greaterThan">
      <formula>0</formula>
    </cfRule>
  </conditionalFormatting>
  <conditionalFormatting sqref="I3:V30">
    <cfRule type="cellIs" dxfId="0" priority="2" operator="greaterThan">
      <formula>0</formula>
    </cfRule>
  </conditionalFormatting>
  <conditionalFormatting sqref="I35:V91">
    <cfRule type="cellIs" dxfId="0" priority="3" operator="greaterThan">
      <formula>0</formula>
    </cfRule>
  </conditionalFormatting>
  <conditionalFormatting sqref="E6:F6">
    <cfRule type="containsText" dxfId="1" priority="4" operator="containsText" text="Done">
      <formula>NOT(ISERROR(SEARCH(("Done"),(E6))))</formula>
    </cfRule>
  </conditionalFormatting>
  <conditionalFormatting sqref="E25:F25">
    <cfRule type="containsText" dxfId="1" priority="5" operator="containsText" text="Done">
      <formula>NOT(ISERROR(SEARCH(("Done"),(E25))))</formula>
    </cfRule>
  </conditionalFormatting>
  <conditionalFormatting sqref="G6:G17">
    <cfRule type="containsText" dxfId="1" priority="6" operator="containsText" text="Done">
      <formula>NOT(ISERROR(SEARCH(("Done"),(G6))))</formula>
    </cfRule>
  </conditionalFormatting>
  <conditionalFormatting sqref="A33:A34">
    <cfRule type="cellIs" dxfId="2" priority="7" operator="lessThan">
      <formula>1</formula>
    </cfRule>
  </conditionalFormatting>
  <conditionalFormatting sqref="H3:H30">
    <cfRule type="containsText" dxfId="3" priority="8" operator="containsText" text="Done">
      <formula>NOT(ISERROR(SEARCH(("Done"),(H3))))</formula>
    </cfRule>
  </conditionalFormatting>
  <conditionalFormatting sqref="H3:H30">
    <cfRule type="containsText" dxfId="4" priority="9" operator="containsText" text="Blocked">
      <formula>NOT(ISERROR(SEARCH(("Blocked"),(H3))))</formula>
    </cfRule>
  </conditionalFormatting>
  <conditionalFormatting sqref="H3:H30">
    <cfRule type="containsText" dxfId="5" priority="10" operator="containsText" text="Working">
      <formula>NOT(ISERROR(SEARCH(("Working"),(H3))))</formula>
    </cfRule>
  </conditionalFormatting>
  <conditionalFormatting sqref="H18:H30">
    <cfRule type="containsText" dxfId="6" priority="11" operator="containsText" text="Verify">
      <formula>NOT(ISERROR(SEARCH(("Verify"),(H18))))</formula>
    </cfRule>
  </conditionalFormatting>
  <dataValidations>
    <dataValidation type="list" allowBlank="1" showErrorMessage="1" sqref="H3:H30">
      <formula1>'Task statuses'!$A$1:$A$100</formula1>
    </dataValidation>
    <dataValidation type="list" allowBlank="1" showErrorMessage="1" sqref="G3:G30">
      <formula1>'Team members'!$A$1:$A$100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18.25"/>
    <col customWidth="1" min="3" max="20" width="15.13"/>
  </cols>
  <sheetData>
    <row r="1">
      <c r="A1" s="173" t="s">
        <v>165</v>
      </c>
      <c r="B1" s="173" t="s">
        <v>166</v>
      </c>
      <c r="C1" s="173" t="s">
        <v>167</v>
      </c>
      <c r="D1" s="173" t="s">
        <v>168</v>
      </c>
    </row>
    <row r="2">
      <c r="A2" s="174" t="s">
        <v>73</v>
      </c>
      <c r="B2" s="174" t="s">
        <v>169</v>
      </c>
      <c r="C2" s="174" t="s">
        <v>170</v>
      </c>
      <c r="D2" s="174" t="s">
        <v>171</v>
      </c>
    </row>
    <row r="3">
      <c r="A3" s="174" t="s">
        <v>76</v>
      </c>
      <c r="B3" s="174" t="s">
        <v>169</v>
      </c>
      <c r="C3" s="174" t="s">
        <v>34</v>
      </c>
      <c r="D3" s="174" t="s">
        <v>172</v>
      </c>
    </row>
    <row r="4">
      <c r="A4" s="174" t="s">
        <v>78</v>
      </c>
      <c r="B4" s="174" t="s">
        <v>169</v>
      </c>
      <c r="C4" s="174" t="s">
        <v>34</v>
      </c>
      <c r="D4" s="174" t="s">
        <v>171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175" t="s">
        <v>133</v>
      </c>
    </row>
    <row r="2">
      <c r="A2" s="175" t="s">
        <v>173</v>
      </c>
    </row>
    <row r="3">
      <c r="A3" s="175" t="s">
        <v>74</v>
      </c>
    </row>
    <row r="4">
      <c r="A4" s="175" t="s">
        <v>174</v>
      </c>
    </row>
    <row r="5">
      <c r="A5" s="175" t="s">
        <v>175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0.38"/>
    <col customWidth="1" min="2" max="20" width="15.13"/>
  </cols>
  <sheetData>
    <row r="2">
      <c r="A2" s="175" t="s">
        <v>6</v>
      </c>
    </row>
    <row r="3">
      <c r="A3" s="175" t="s">
        <v>176</v>
      </c>
    </row>
    <row r="4">
      <c r="A4" s="175" t="s">
        <v>29</v>
      </c>
    </row>
    <row r="5">
      <c r="A5" s="175" t="s">
        <v>37</v>
      </c>
    </row>
    <row r="6">
      <c r="A6" s="175" t="s">
        <v>34</v>
      </c>
    </row>
    <row r="7">
      <c r="A7" s="175" t="s">
        <v>40</v>
      </c>
    </row>
  </sheetData>
  <drawing r:id="rId1"/>
</worksheet>
</file>